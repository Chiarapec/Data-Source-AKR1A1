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cerdk365-my.sharepoint.com/personal/chp_cancer_dk/Documents/Pecorari et al/RAW DATA/R graphs/"/>
    </mc:Choice>
  </mc:AlternateContent>
  <xr:revisionPtr revIDLastSave="9" documentId="13_ncr:1_{F91B0D5D-BFC4-FD46-A1CF-36700C1EF316}" xr6:coauthVersionLast="47" xr6:coauthVersionMax="47" xr10:uidLastSave="{B98F2FFE-8027-1541-9D7F-37775D11A417}"/>
  <bookViews>
    <workbookView xWindow="0" yWindow="760" windowWidth="29400" windowHeight="16940" xr2:uid="{9056D147-89EF-EC44-B989-6EB973892C51}"/>
  </bookViews>
  <sheets>
    <sheet name="HUh7" sheetId="1" r:id="rId1"/>
    <sheet name="769-P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" l="1"/>
  <c r="M37" i="2"/>
  <c r="N55" i="2"/>
  <c r="N53" i="2"/>
  <c r="N51" i="2"/>
  <c r="N50" i="2"/>
  <c r="N49" i="2"/>
  <c r="N48" i="2"/>
  <c r="N47" i="2"/>
  <c r="N45" i="2"/>
  <c r="N43" i="2"/>
  <c r="O43" i="2" s="1"/>
  <c r="N38" i="2"/>
  <c r="N36" i="2"/>
  <c r="O36" i="2" s="1"/>
  <c r="N35" i="2"/>
  <c r="N34" i="2"/>
  <c r="N33" i="2"/>
  <c r="N30" i="2"/>
  <c r="N25" i="2"/>
  <c r="N24" i="2"/>
  <c r="N23" i="2"/>
  <c r="N11" i="2"/>
  <c r="O11" i="2" s="1"/>
  <c r="O12" i="2"/>
  <c r="O20" i="2"/>
  <c r="O23" i="2"/>
  <c r="O25" i="2"/>
  <c r="O28" i="2"/>
  <c r="O31" i="2"/>
  <c r="O42" i="2"/>
  <c r="O44" i="2"/>
  <c r="O47" i="2"/>
  <c r="O48" i="2"/>
  <c r="M5" i="2"/>
  <c r="N5" i="2"/>
  <c r="O5" i="2" s="1"/>
  <c r="M6" i="2"/>
  <c r="N6" i="2"/>
  <c r="O6" i="2" s="1"/>
  <c r="M7" i="2"/>
  <c r="O7" i="2" s="1"/>
  <c r="N7" i="2"/>
  <c r="M8" i="2"/>
  <c r="O8" i="2" s="1"/>
  <c r="N8" i="2"/>
  <c r="M9" i="2"/>
  <c r="N9" i="2"/>
  <c r="O9" i="2" s="1"/>
  <c r="M10" i="2"/>
  <c r="N10" i="2"/>
  <c r="O10" i="2" s="1"/>
  <c r="M11" i="2"/>
  <c r="M12" i="2"/>
  <c r="N12" i="2"/>
  <c r="M13" i="2"/>
  <c r="N13" i="2"/>
  <c r="O13" i="2" s="1"/>
  <c r="M14" i="2"/>
  <c r="O14" i="2" s="1"/>
  <c r="N14" i="2"/>
  <c r="M15" i="2"/>
  <c r="N15" i="2"/>
  <c r="O15" i="2" s="1"/>
  <c r="M16" i="2"/>
  <c r="N16" i="2"/>
  <c r="O16" i="2" s="1"/>
  <c r="M17" i="2"/>
  <c r="N17" i="2"/>
  <c r="O17" i="2" s="1"/>
  <c r="M18" i="2"/>
  <c r="N18" i="2"/>
  <c r="O18" i="2" s="1"/>
  <c r="M19" i="2"/>
  <c r="N19" i="2"/>
  <c r="O19" i="2" s="1"/>
  <c r="M20" i="2"/>
  <c r="N20" i="2"/>
  <c r="M21" i="2"/>
  <c r="N21" i="2"/>
  <c r="O21" i="2" s="1"/>
  <c r="M22" i="2"/>
  <c r="O22" i="2" s="1"/>
  <c r="N22" i="2"/>
  <c r="M23" i="2"/>
  <c r="M24" i="2"/>
  <c r="O24" i="2" s="1"/>
  <c r="M25" i="2"/>
  <c r="M26" i="2"/>
  <c r="N26" i="2"/>
  <c r="O26" i="2" s="1"/>
  <c r="M27" i="2"/>
  <c r="N27" i="2"/>
  <c r="O27" i="2" s="1"/>
  <c r="M28" i="2"/>
  <c r="N28" i="2"/>
  <c r="M29" i="2"/>
  <c r="O29" i="2" s="1"/>
  <c r="N29" i="2"/>
  <c r="M30" i="2"/>
  <c r="O30" i="2" s="1"/>
  <c r="M31" i="2"/>
  <c r="N31" i="2"/>
  <c r="M32" i="2"/>
  <c r="N32" i="2"/>
  <c r="O32" i="2" s="1"/>
  <c r="M33" i="2"/>
  <c r="M34" i="2"/>
  <c r="O34" i="2" s="1"/>
  <c r="M35" i="2"/>
  <c r="O35" i="2" s="1"/>
  <c r="M36" i="2"/>
  <c r="M38" i="2"/>
  <c r="M39" i="2"/>
  <c r="O39" i="2" s="1"/>
  <c r="N39" i="2"/>
  <c r="M40" i="2"/>
  <c r="N40" i="2"/>
  <c r="O40" i="2" s="1"/>
  <c r="M41" i="2"/>
  <c r="N41" i="2"/>
  <c r="O41" i="2" s="1"/>
  <c r="M42" i="2"/>
  <c r="N42" i="2"/>
  <c r="M43" i="2"/>
  <c r="M44" i="2"/>
  <c r="N44" i="2"/>
  <c r="M45" i="2"/>
  <c r="M46" i="2"/>
  <c r="N46" i="2"/>
  <c r="O46" i="2" s="1"/>
  <c r="M47" i="2"/>
  <c r="M48" i="2"/>
  <c r="M49" i="2"/>
  <c r="O49" i="2" s="1"/>
  <c r="M50" i="2"/>
  <c r="M51" i="2"/>
  <c r="O51" i="2" s="1"/>
  <c r="M52" i="2"/>
  <c r="O52" i="2" s="1"/>
  <c r="N52" i="2"/>
  <c r="M53" i="2"/>
  <c r="O53" i="2" s="1"/>
  <c r="M54" i="2"/>
  <c r="N54" i="2"/>
  <c r="O54" i="2" s="1"/>
  <c r="M55" i="2"/>
  <c r="N4" i="2"/>
  <c r="O4" i="2" s="1"/>
  <c r="M4" i="2"/>
  <c r="O10" i="1"/>
  <c r="O18" i="1"/>
  <c r="O26" i="1"/>
  <c r="O34" i="1"/>
  <c r="O42" i="1"/>
  <c r="O50" i="1"/>
  <c r="M5" i="1"/>
  <c r="N5" i="1"/>
  <c r="O5" i="1" s="1"/>
  <c r="M6" i="1"/>
  <c r="N6" i="1"/>
  <c r="O6" i="1" s="1"/>
  <c r="M7" i="1"/>
  <c r="O7" i="1" s="1"/>
  <c r="N7" i="1"/>
  <c r="M8" i="1"/>
  <c r="N8" i="1"/>
  <c r="O8" i="1" s="1"/>
  <c r="M9" i="1"/>
  <c r="N9" i="1"/>
  <c r="O9" i="1" s="1"/>
  <c r="M10" i="1"/>
  <c r="N10" i="1"/>
  <c r="M11" i="1"/>
  <c r="O11" i="1" s="1"/>
  <c r="N11" i="1"/>
  <c r="M12" i="1"/>
  <c r="O12" i="1" s="1"/>
  <c r="N12" i="1"/>
  <c r="M13" i="1"/>
  <c r="N13" i="1"/>
  <c r="O13" i="1" s="1"/>
  <c r="M14" i="1"/>
  <c r="N14" i="1"/>
  <c r="O14" i="1" s="1"/>
  <c r="M15" i="1"/>
  <c r="O15" i="1" s="1"/>
  <c r="N15" i="1"/>
  <c r="M16" i="1"/>
  <c r="N16" i="1"/>
  <c r="O16" i="1" s="1"/>
  <c r="M17" i="1"/>
  <c r="N17" i="1"/>
  <c r="O17" i="1" s="1"/>
  <c r="M18" i="1"/>
  <c r="N18" i="1"/>
  <c r="M19" i="1"/>
  <c r="O19" i="1" s="1"/>
  <c r="N19" i="1"/>
  <c r="M20" i="1"/>
  <c r="O20" i="1" s="1"/>
  <c r="N20" i="1"/>
  <c r="M21" i="1"/>
  <c r="N21" i="1"/>
  <c r="O21" i="1" s="1"/>
  <c r="M22" i="1"/>
  <c r="N22" i="1"/>
  <c r="O22" i="1" s="1"/>
  <c r="M23" i="1"/>
  <c r="O23" i="1" s="1"/>
  <c r="N23" i="1"/>
  <c r="M24" i="1"/>
  <c r="N24" i="1"/>
  <c r="O24" i="1" s="1"/>
  <c r="M25" i="1"/>
  <c r="N25" i="1"/>
  <c r="O25" i="1" s="1"/>
  <c r="M26" i="1"/>
  <c r="N26" i="1"/>
  <c r="M27" i="1"/>
  <c r="O27" i="1" s="1"/>
  <c r="N27" i="1"/>
  <c r="M28" i="1"/>
  <c r="O28" i="1" s="1"/>
  <c r="N28" i="1"/>
  <c r="M29" i="1"/>
  <c r="N29" i="1"/>
  <c r="O29" i="1" s="1"/>
  <c r="M30" i="1"/>
  <c r="N30" i="1"/>
  <c r="O30" i="1" s="1"/>
  <c r="M31" i="1"/>
  <c r="O31" i="1" s="1"/>
  <c r="N31" i="1"/>
  <c r="M32" i="1"/>
  <c r="N32" i="1"/>
  <c r="O32" i="1" s="1"/>
  <c r="M33" i="1"/>
  <c r="N33" i="1"/>
  <c r="O33" i="1" s="1"/>
  <c r="M34" i="1"/>
  <c r="N34" i="1"/>
  <c r="M35" i="1"/>
  <c r="O35" i="1" s="1"/>
  <c r="N35" i="1"/>
  <c r="M36" i="1"/>
  <c r="O36" i="1" s="1"/>
  <c r="N36" i="1"/>
  <c r="M37" i="1"/>
  <c r="N37" i="1"/>
  <c r="O37" i="1" s="1"/>
  <c r="M38" i="1"/>
  <c r="N38" i="1"/>
  <c r="O38" i="1" s="1"/>
  <c r="M39" i="1"/>
  <c r="O39" i="1" s="1"/>
  <c r="N39" i="1"/>
  <c r="M40" i="1"/>
  <c r="N40" i="1"/>
  <c r="O40" i="1" s="1"/>
  <c r="M41" i="1"/>
  <c r="N41" i="1"/>
  <c r="O41" i="1" s="1"/>
  <c r="M42" i="1"/>
  <c r="N42" i="1"/>
  <c r="M43" i="1"/>
  <c r="O43" i="1" s="1"/>
  <c r="N43" i="1"/>
  <c r="M44" i="1"/>
  <c r="O44" i="1" s="1"/>
  <c r="N44" i="1"/>
  <c r="M45" i="1"/>
  <c r="N45" i="1"/>
  <c r="O45" i="1" s="1"/>
  <c r="M46" i="1"/>
  <c r="N46" i="1"/>
  <c r="O46" i="1" s="1"/>
  <c r="M47" i="1"/>
  <c r="O47" i="1" s="1"/>
  <c r="N47" i="1"/>
  <c r="M48" i="1"/>
  <c r="N48" i="1"/>
  <c r="O48" i="1" s="1"/>
  <c r="M49" i="1"/>
  <c r="N49" i="1"/>
  <c r="O49" i="1" s="1"/>
  <c r="M50" i="1"/>
  <c r="N50" i="1"/>
  <c r="M51" i="1"/>
  <c r="O51" i="1" s="1"/>
  <c r="N51" i="1"/>
  <c r="M52" i="1"/>
  <c r="O52" i="1" s="1"/>
  <c r="N52" i="1"/>
  <c r="M53" i="1"/>
  <c r="N53" i="1"/>
  <c r="O53" i="1" s="1"/>
  <c r="M54" i="1"/>
  <c r="N54" i="1"/>
  <c r="O54" i="1" s="1"/>
  <c r="M55" i="1"/>
  <c r="O55" i="1" s="1"/>
  <c r="N55" i="1"/>
  <c r="N4" i="1"/>
  <c r="O4" i="1" s="1"/>
  <c r="M4" i="1"/>
  <c r="O45" i="2" l="1"/>
  <c r="O33" i="2"/>
  <c r="O50" i="2"/>
  <c r="O37" i="2"/>
  <c r="O38" i="2"/>
  <c r="O55" i="2"/>
</calcChain>
</file>

<file path=xl/sharedStrings.xml><?xml version="1.0" encoding="utf-8"?>
<sst xmlns="http://schemas.openxmlformats.org/spreadsheetml/2006/main" count="299" uniqueCount="84">
  <si>
    <t>Glucose-(6)P</t>
  </si>
  <si>
    <t>Phosphoenolpyruvate</t>
  </si>
  <si>
    <t>Pyruvate</t>
  </si>
  <si>
    <t>Lactate</t>
  </si>
  <si>
    <t>Ribose-(5)P</t>
  </si>
  <si>
    <t>Sedoheptulose-(7)P</t>
  </si>
  <si>
    <t>Erythrose-(4)P</t>
  </si>
  <si>
    <t>Sample ID</t>
  </si>
  <si>
    <t>Proteins (mg/ml)</t>
  </si>
  <si>
    <t>Compounds</t>
  </si>
  <si>
    <t>Pathways</t>
  </si>
  <si>
    <t>Sample name</t>
  </si>
  <si>
    <t>HuH7_SCR_1</t>
  </si>
  <si>
    <t>HuH7_SCR_2</t>
  </si>
  <si>
    <t>HuH7_SCR_3</t>
  </si>
  <si>
    <t>HuH7_siAKR1A1_1</t>
  </si>
  <si>
    <t>HuH7_siAKR1A1_2</t>
  </si>
  <si>
    <t>HuH7_siAKR1A1_3</t>
  </si>
  <si>
    <t>Alanine</t>
  </si>
  <si>
    <t>Amino acids</t>
  </si>
  <si>
    <t>Arginine</t>
  </si>
  <si>
    <t>Aparagine</t>
  </si>
  <si>
    <t>Aspartate</t>
  </si>
  <si>
    <t>Glutamate</t>
  </si>
  <si>
    <t>Glutamine</t>
  </si>
  <si>
    <t>Glycine</t>
  </si>
  <si>
    <t>Hystidine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</si>
  <si>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</si>
  <si>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</si>
  <si>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</si>
  <si>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</si>
  <si>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</si>
  <si>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</si>
  <si>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</si>
  <si>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</si>
  <si>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</si>
  <si>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</si>
  <si>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</si>
  <si>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ADP</t>
  </si>
  <si>
    <t>Bioenergetics</t>
  </si>
  <si>
    <t>AMP</t>
  </si>
  <si>
    <t>ATP</t>
  </si>
  <si>
    <t>3-phosphoglycerate (or 2-phosphoglycerate)</t>
  </si>
  <si>
    <t>Glycolysis</t>
  </si>
  <si>
    <t>Glyceraldehyde-3P (or Dihydroxyacetone-P)</t>
  </si>
  <si>
    <t>5-Aminolevulinic acid</t>
  </si>
  <si>
    <t>Heme Biosynthesis</t>
  </si>
  <si>
    <t>Homocysteine</t>
  </si>
  <si>
    <t>Methionine cycle</t>
  </si>
  <si>
    <t>S-Adenosylmethionine</t>
  </si>
  <si>
    <t>S-Adenosylhomocysteine</t>
  </si>
  <si>
    <t>Pentose Phosphate Pathway</t>
  </si>
  <si>
    <t>a-KG</t>
  </si>
  <si>
    <t>TCA cycle</t>
  </si>
  <si>
    <t>Citrate</t>
  </si>
  <si>
    <t>Malate</t>
  </si>
  <si>
    <t>Succinate</t>
  </si>
  <si>
    <t>Cystathionine</t>
  </si>
  <si>
    <t>Thiols/Redox</t>
  </si>
  <si>
    <t>Cystine</t>
  </si>
  <si>
    <r>
      <rPr>
        <sz val="12"/>
        <color theme="1"/>
        <rFont val="Calibri"/>
        <family val="2"/>
      </rPr>
      <t xml:space="preserve"> γ-</t>
    </r>
    <r>
      <rPr>
        <sz val="12"/>
        <color theme="1"/>
        <rFont val="Aptos Narrow"/>
        <family val="2"/>
        <scheme val="minor"/>
      </rPr>
      <t>GlutamylCysteine</t>
    </r>
  </si>
  <si>
    <t>GSH</t>
  </si>
  <si>
    <t>GSSG</t>
  </si>
  <si>
    <t>NAD</t>
  </si>
  <si>
    <t>NADH</t>
  </si>
  <si>
    <t>NAPDH</t>
  </si>
  <si>
    <t>NADP</t>
  </si>
  <si>
    <t>Nicotinamide</t>
  </si>
  <si>
    <t>Citrulline</t>
  </si>
  <si>
    <t>Urea cycle</t>
  </si>
  <si>
    <t>Ornithine</t>
  </si>
  <si>
    <t>Argininesuccinate</t>
  </si>
  <si>
    <t>average siSCR</t>
  </si>
  <si>
    <t>average siAKR1A1</t>
  </si>
  <si>
    <t>LOG2FC</t>
  </si>
  <si>
    <t>769-P_SCR_1</t>
  </si>
  <si>
    <t>769-P_SCR_2</t>
  </si>
  <si>
    <t>769-P_SCR_3</t>
  </si>
  <si>
    <t>769-P_siAKR1A1_1</t>
  </si>
  <si>
    <t>769-P_siAKR1A1_2</t>
  </si>
  <si>
    <t>769-P_siAKR1A1_3</t>
  </si>
  <si>
    <t>log2FC</t>
  </si>
  <si>
    <t>Huh7</t>
  </si>
  <si>
    <t>769-P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</si>
</sst>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8E8E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auto="1"/>
      </top>
      <bottom/>
      <diagonal/>
    </border>
    <border>
      <left style="hair">
        <color theme="1"/>
      </left>
      <right style="hair">
        <color theme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1" fontId="2" fillId="2" borderId="6" xfId="0" applyNumberFormat="1" applyFont="1" applyFill="1" applyBorder="1" applyAlignment="1">
      <alignment horizontal="center" vertical="center"/>
    </xf>
    <xf numFmtId="11" fontId="1" fillId="3" borderId="5" xfId="0" applyNumberFormat="1" applyFont="1" applyFill="1" applyBorder="1" applyAlignment="1">
      <alignment horizontal="center" vertical="center"/>
    </xf>
    <xf numFmtId="11" fontId="1" fillId="3" borderId="0" xfId="0" applyNumberFormat="1" applyFont="1" applyFill="1" applyAlignment="1">
      <alignment horizontal="center" vertical="center"/>
    </xf>
    <xf numFmtId="11" fontId="1" fillId="3" borderId="7" xfId="0" applyNumberFormat="1" applyFont="1" applyFill="1" applyBorder="1" applyAlignment="1">
      <alignment horizontal="center" vertical="center"/>
    </xf>
    <xf numFmtId="11" fontId="1" fillId="3" borderId="8" xfId="0" applyNumberFormat="1" applyFont="1" applyFill="1" applyBorder="1" applyAlignment="1">
      <alignment horizontal="center" vertical="center"/>
    </xf>
    <xf numFmtId="11" fontId="1" fillId="3" borderId="9" xfId="0" applyNumberFormat="1" applyFont="1" applyFill="1" applyBorder="1" applyAlignment="1">
      <alignment horizontal="center" vertical="center"/>
    </xf>
    <xf numFmtId="11" fontId="1" fillId="3" borderId="10" xfId="0" applyNumberFormat="1" applyFont="1" applyFill="1" applyBorder="1" applyAlignment="1">
      <alignment horizontal="center" vertical="center"/>
    </xf>
    <xf numFmtId="11" fontId="1" fillId="3" borderId="11" xfId="0" applyNumberFormat="1" applyFont="1" applyFill="1" applyBorder="1" applyAlignment="1">
      <alignment horizontal="center" vertical="center"/>
    </xf>
    <xf numFmtId="11" fontId="1" fillId="3" borderId="12" xfId="0" applyNumberFormat="1" applyFont="1" applyFill="1" applyBorder="1" applyAlignment="1">
      <alignment horizontal="center" vertical="center"/>
    </xf>
    <xf numFmtId="11" fontId="1" fillId="3" borderId="13" xfId="0" applyNumberFormat="1" applyFont="1" applyFill="1" applyBorder="1" applyAlignment="1">
      <alignment horizontal="center" vertical="center"/>
    </xf>
    <xf numFmtId="11" fontId="1" fillId="3" borderId="14" xfId="0" applyNumberFormat="1" applyFont="1" applyFill="1" applyBorder="1" applyAlignment="1">
      <alignment horizontal="center" vertical="center"/>
    </xf>
    <xf numFmtId="11" fontId="1" fillId="4" borderId="1" xfId="0" applyNumberFormat="1" applyFont="1" applyFill="1" applyBorder="1" applyAlignment="1">
      <alignment horizontal="center" vertical="center"/>
    </xf>
    <xf numFmtId="11" fontId="1" fillId="4" borderId="15" xfId="0" applyNumberFormat="1" applyFont="1" applyFill="1" applyBorder="1" applyAlignment="1">
      <alignment horizontal="center" vertical="center"/>
    </xf>
    <xf numFmtId="11" fontId="1" fillId="4" borderId="16" xfId="0" applyNumberFormat="1" applyFont="1" applyFill="1" applyBorder="1" applyAlignment="1">
      <alignment horizontal="center" vertical="center"/>
    </xf>
    <xf numFmtId="11" fontId="1" fillId="4" borderId="17" xfId="0" applyNumberFormat="1" applyFont="1" applyFill="1" applyBorder="1" applyAlignment="1">
      <alignment horizontal="center" vertical="center"/>
    </xf>
    <xf numFmtId="11" fontId="1" fillId="4" borderId="18" xfId="0" applyNumberFormat="1" applyFont="1" applyFill="1" applyBorder="1" applyAlignment="1">
      <alignment horizontal="center" vertical="center"/>
    </xf>
    <xf numFmtId="11" fontId="1" fillId="4" borderId="5" xfId="0" applyNumberFormat="1" applyFont="1" applyFill="1" applyBorder="1" applyAlignment="1">
      <alignment horizontal="center" vertical="center"/>
    </xf>
    <xf numFmtId="11" fontId="1" fillId="4" borderId="0" xfId="0" applyNumberFormat="1" applyFont="1" applyFill="1" applyAlignment="1">
      <alignment horizontal="center" vertical="center"/>
    </xf>
    <xf numFmtId="11" fontId="1" fillId="4" borderId="7" xfId="0" applyNumberFormat="1" applyFont="1" applyFill="1" applyBorder="1" applyAlignment="1">
      <alignment horizontal="center" vertical="center"/>
    </xf>
    <xf numFmtId="11" fontId="1" fillId="4" borderId="8" xfId="0" applyNumberFormat="1" applyFont="1" applyFill="1" applyBorder="1" applyAlignment="1">
      <alignment horizontal="center" vertical="center"/>
    </xf>
    <xf numFmtId="11" fontId="1" fillId="4" borderId="9" xfId="0" applyNumberFormat="1" applyFont="1" applyFill="1" applyBorder="1" applyAlignment="1">
      <alignment horizontal="center" vertical="center"/>
    </xf>
    <xf numFmtId="11" fontId="1" fillId="4" borderId="10" xfId="0" applyNumberFormat="1" applyFont="1" applyFill="1" applyBorder="1" applyAlignment="1">
      <alignment horizontal="center" vertical="center"/>
    </xf>
    <xf numFmtId="11" fontId="1" fillId="4" borderId="11" xfId="0" applyNumberFormat="1" applyFont="1" applyFill="1" applyBorder="1" applyAlignment="1">
      <alignment horizontal="center" vertical="center"/>
    </xf>
    <xf numFmtId="11" fontId="1" fillId="4" borderId="12" xfId="0" applyNumberFormat="1" applyFont="1" applyFill="1" applyBorder="1" applyAlignment="1">
      <alignment horizontal="center" vertical="center"/>
    </xf>
    <xf numFmtId="11" fontId="1" fillId="4" borderId="13" xfId="0" applyNumberFormat="1" applyFont="1" applyFill="1" applyBorder="1" applyAlignment="1">
      <alignment horizontal="center" vertical="center"/>
    </xf>
    <xf numFmtId="11" fontId="1" fillId="4" borderId="14" xfId="0" applyNumberFormat="1" applyFont="1" applyFill="1" applyBorder="1" applyAlignment="1">
      <alignment horizontal="center" vertical="center"/>
    </xf>
    <xf numFmtId="11" fontId="1" fillId="5" borderId="1" xfId="0" applyNumberFormat="1" applyFont="1" applyFill="1" applyBorder="1" applyAlignment="1">
      <alignment horizontal="center" vertical="center"/>
    </xf>
    <xf numFmtId="11" fontId="1" fillId="5" borderId="15" xfId="0" applyNumberFormat="1" applyFont="1" applyFill="1" applyBorder="1" applyAlignment="1">
      <alignment horizontal="center" vertical="center"/>
    </xf>
    <xf numFmtId="11" fontId="1" fillId="5" borderId="16" xfId="0" applyNumberFormat="1" applyFont="1" applyFill="1" applyBorder="1" applyAlignment="1">
      <alignment horizontal="center" vertical="center"/>
    </xf>
    <xf numFmtId="11" fontId="1" fillId="5" borderId="17" xfId="0" applyNumberFormat="1" applyFont="1" applyFill="1" applyBorder="1" applyAlignment="1">
      <alignment horizontal="center" vertical="center"/>
    </xf>
    <xf numFmtId="11" fontId="1" fillId="5" borderId="18" xfId="0" applyNumberFormat="1" applyFont="1" applyFill="1" applyBorder="1" applyAlignment="1">
      <alignment horizontal="center" vertical="center"/>
    </xf>
    <xf numFmtId="11" fontId="1" fillId="5" borderId="5" xfId="0" applyNumberFormat="1" applyFont="1" applyFill="1" applyBorder="1" applyAlignment="1">
      <alignment horizontal="center" vertical="center"/>
    </xf>
    <xf numFmtId="11" fontId="1" fillId="5" borderId="0" xfId="0" applyNumberFormat="1" applyFont="1" applyFill="1" applyAlignment="1">
      <alignment horizontal="center" vertical="center"/>
    </xf>
    <xf numFmtId="11" fontId="1" fillId="5" borderId="7" xfId="0" applyNumberFormat="1" applyFont="1" applyFill="1" applyBorder="1" applyAlignment="1">
      <alignment horizontal="center" vertical="center"/>
    </xf>
    <xf numFmtId="11" fontId="1" fillId="5" borderId="8" xfId="0" applyNumberFormat="1" applyFont="1" applyFill="1" applyBorder="1" applyAlignment="1">
      <alignment horizontal="center" vertical="center"/>
    </xf>
    <xf numFmtId="11" fontId="1" fillId="5" borderId="9" xfId="0" applyNumberFormat="1" applyFont="1" applyFill="1" applyBorder="1" applyAlignment="1">
      <alignment horizontal="center" vertical="center"/>
    </xf>
    <xf numFmtId="11" fontId="1" fillId="5" borderId="10" xfId="0" applyNumberFormat="1" applyFont="1" applyFill="1" applyBorder="1" applyAlignment="1">
      <alignment horizontal="center" vertical="center"/>
    </xf>
    <xf numFmtId="11" fontId="1" fillId="5" borderId="11" xfId="0" applyNumberFormat="1" applyFont="1" applyFill="1" applyBorder="1" applyAlignment="1">
      <alignment horizontal="center" vertical="center"/>
    </xf>
    <xf numFmtId="11" fontId="1" fillId="5" borderId="12" xfId="0" applyNumberFormat="1" applyFont="1" applyFill="1" applyBorder="1" applyAlignment="1">
      <alignment horizontal="center" vertical="center"/>
    </xf>
    <xf numFmtId="11" fontId="1" fillId="5" borderId="13" xfId="0" applyNumberFormat="1" applyFont="1" applyFill="1" applyBorder="1" applyAlignment="1">
      <alignment horizontal="center" vertical="center"/>
    </xf>
    <xf numFmtId="11" fontId="1" fillId="5" borderId="14" xfId="0" applyNumberFormat="1" applyFont="1" applyFill="1" applyBorder="1" applyAlignment="1">
      <alignment horizontal="center" vertical="center"/>
    </xf>
    <xf numFmtId="11" fontId="1" fillId="6" borderId="6" xfId="0" applyNumberFormat="1" applyFont="1" applyFill="1" applyBorder="1" applyAlignment="1">
      <alignment horizontal="center" vertical="center"/>
    </xf>
    <xf numFmtId="11" fontId="1" fillId="6" borderId="19" xfId="0" applyNumberFormat="1" applyFont="1" applyFill="1" applyBorder="1" applyAlignment="1">
      <alignment horizontal="center" vertical="center"/>
    </xf>
    <xf numFmtId="11" fontId="1" fillId="6" borderId="2" xfId="0" applyNumberFormat="1" applyFont="1" applyFill="1" applyBorder="1" applyAlignment="1">
      <alignment horizontal="center" vertical="center"/>
    </xf>
    <xf numFmtId="11" fontId="1" fillId="6" borderId="3" xfId="0" applyNumberFormat="1" applyFont="1" applyFill="1" applyBorder="1" applyAlignment="1">
      <alignment horizontal="center" vertical="center"/>
    </xf>
    <xf numFmtId="11" fontId="1" fillId="6" borderId="4" xfId="0" applyNumberFormat="1" applyFont="1" applyFill="1" applyBorder="1" applyAlignment="1">
      <alignment horizontal="center" vertical="center"/>
    </xf>
    <xf numFmtId="11" fontId="1" fillId="7" borderId="1" xfId="0" applyNumberFormat="1" applyFont="1" applyFill="1" applyBorder="1" applyAlignment="1">
      <alignment horizontal="center" vertical="center"/>
    </xf>
    <xf numFmtId="11" fontId="1" fillId="7" borderId="15" xfId="0" applyNumberFormat="1" applyFont="1" applyFill="1" applyBorder="1" applyAlignment="1">
      <alignment horizontal="center" vertical="center"/>
    </xf>
    <xf numFmtId="11" fontId="1" fillId="7" borderId="16" xfId="0" applyNumberFormat="1" applyFont="1" applyFill="1" applyBorder="1" applyAlignment="1">
      <alignment horizontal="center" vertical="center"/>
    </xf>
    <xf numFmtId="11" fontId="1" fillId="7" borderId="17" xfId="0" applyNumberFormat="1" applyFont="1" applyFill="1" applyBorder="1" applyAlignment="1">
      <alignment horizontal="center" vertical="center"/>
    </xf>
    <xf numFmtId="11" fontId="1" fillId="7" borderId="18" xfId="0" applyNumberFormat="1" applyFont="1" applyFill="1" applyBorder="1" applyAlignment="1">
      <alignment horizontal="center" vertical="center"/>
    </xf>
    <xf numFmtId="11" fontId="1" fillId="7" borderId="5" xfId="0" applyNumberFormat="1" applyFont="1" applyFill="1" applyBorder="1" applyAlignment="1">
      <alignment horizontal="center" vertical="center"/>
    </xf>
    <xf numFmtId="11" fontId="1" fillId="7" borderId="0" xfId="0" applyNumberFormat="1" applyFont="1" applyFill="1" applyAlignment="1">
      <alignment horizontal="center" vertical="center"/>
    </xf>
    <xf numFmtId="11" fontId="1" fillId="7" borderId="7" xfId="0" applyNumberFormat="1" applyFont="1" applyFill="1" applyBorder="1" applyAlignment="1">
      <alignment horizontal="center" vertical="center"/>
    </xf>
    <xf numFmtId="11" fontId="1" fillId="7" borderId="8" xfId="0" applyNumberFormat="1" applyFont="1" applyFill="1" applyBorder="1" applyAlignment="1">
      <alignment horizontal="center" vertical="center"/>
    </xf>
    <xf numFmtId="11" fontId="1" fillId="7" borderId="9" xfId="0" applyNumberFormat="1" applyFont="1" applyFill="1" applyBorder="1" applyAlignment="1">
      <alignment horizontal="center" vertical="center"/>
    </xf>
    <xf numFmtId="11" fontId="1" fillId="7" borderId="10" xfId="0" applyNumberFormat="1" applyFont="1" applyFill="1" applyBorder="1" applyAlignment="1">
      <alignment horizontal="center" vertical="center"/>
    </xf>
    <xf numFmtId="11" fontId="1" fillId="7" borderId="11" xfId="0" applyNumberFormat="1" applyFont="1" applyFill="1" applyBorder="1" applyAlignment="1">
      <alignment horizontal="center" vertical="center"/>
    </xf>
    <xf numFmtId="11" fontId="1" fillId="7" borderId="12" xfId="0" applyNumberFormat="1" applyFont="1" applyFill="1" applyBorder="1" applyAlignment="1">
      <alignment horizontal="center" vertical="center"/>
    </xf>
    <xf numFmtId="11" fontId="1" fillId="7" borderId="13" xfId="0" applyNumberFormat="1" applyFont="1" applyFill="1" applyBorder="1" applyAlignment="1">
      <alignment horizontal="center" vertical="center"/>
    </xf>
    <xf numFmtId="11" fontId="1" fillId="7" borderId="14" xfId="0" applyNumberFormat="1" applyFont="1" applyFill="1" applyBorder="1" applyAlignment="1">
      <alignment horizontal="center" vertical="center"/>
    </xf>
    <xf numFmtId="11" fontId="1" fillId="8" borderId="1" xfId="0" applyNumberFormat="1" applyFont="1" applyFill="1" applyBorder="1" applyAlignment="1">
      <alignment horizontal="center" vertical="center"/>
    </xf>
    <xf numFmtId="11" fontId="1" fillId="8" borderId="15" xfId="0" applyNumberFormat="1" applyFont="1" applyFill="1" applyBorder="1" applyAlignment="1">
      <alignment horizontal="center" vertical="center"/>
    </xf>
    <xf numFmtId="11" fontId="1" fillId="8" borderId="16" xfId="0" applyNumberFormat="1" applyFont="1" applyFill="1" applyBorder="1" applyAlignment="1">
      <alignment horizontal="center" vertical="center"/>
    </xf>
    <xf numFmtId="11" fontId="1" fillId="8" borderId="17" xfId="0" applyNumberFormat="1" applyFont="1" applyFill="1" applyBorder="1" applyAlignment="1">
      <alignment horizontal="center" vertical="center"/>
    </xf>
    <xf numFmtId="11" fontId="1" fillId="8" borderId="18" xfId="0" applyNumberFormat="1" applyFont="1" applyFill="1" applyBorder="1" applyAlignment="1">
      <alignment horizontal="center" vertical="center"/>
    </xf>
    <xf numFmtId="11" fontId="1" fillId="8" borderId="5" xfId="0" applyNumberFormat="1" applyFont="1" applyFill="1" applyBorder="1" applyAlignment="1">
      <alignment horizontal="center" vertical="center"/>
    </xf>
    <xf numFmtId="11" fontId="1" fillId="8" borderId="0" xfId="0" applyNumberFormat="1" applyFont="1" applyFill="1" applyAlignment="1">
      <alignment horizontal="center" vertical="center"/>
    </xf>
    <xf numFmtId="11" fontId="1" fillId="8" borderId="7" xfId="0" applyNumberFormat="1" applyFont="1" applyFill="1" applyBorder="1" applyAlignment="1">
      <alignment horizontal="center" vertical="center"/>
    </xf>
    <xf numFmtId="11" fontId="1" fillId="8" borderId="8" xfId="0" applyNumberFormat="1" applyFont="1" applyFill="1" applyBorder="1" applyAlignment="1">
      <alignment horizontal="center" vertical="center"/>
    </xf>
    <xf numFmtId="11" fontId="1" fillId="8" borderId="9" xfId="0" applyNumberFormat="1" applyFont="1" applyFill="1" applyBorder="1" applyAlignment="1">
      <alignment horizontal="center" vertical="center"/>
    </xf>
    <xf numFmtId="11" fontId="1" fillId="8" borderId="10" xfId="0" applyNumberFormat="1" applyFont="1" applyFill="1" applyBorder="1" applyAlignment="1">
      <alignment horizontal="center" vertical="center"/>
    </xf>
    <xf numFmtId="11" fontId="1" fillId="8" borderId="11" xfId="0" applyNumberFormat="1" applyFont="1" applyFill="1" applyBorder="1" applyAlignment="1">
      <alignment horizontal="center" vertical="center"/>
    </xf>
    <xf numFmtId="11" fontId="1" fillId="8" borderId="12" xfId="0" applyNumberFormat="1" applyFont="1" applyFill="1" applyBorder="1" applyAlignment="1">
      <alignment horizontal="center" vertical="center"/>
    </xf>
    <xf numFmtId="11" fontId="1" fillId="8" borderId="13" xfId="0" applyNumberFormat="1" applyFont="1" applyFill="1" applyBorder="1" applyAlignment="1">
      <alignment horizontal="center" vertical="center"/>
    </xf>
    <xf numFmtId="11" fontId="1" fillId="8" borderId="14" xfId="0" applyNumberFormat="1" applyFont="1" applyFill="1" applyBorder="1" applyAlignment="1">
      <alignment horizontal="center" vertical="center"/>
    </xf>
    <xf numFmtId="11" fontId="1" fillId="9" borderId="1" xfId="0" applyNumberFormat="1" applyFont="1" applyFill="1" applyBorder="1" applyAlignment="1">
      <alignment horizontal="center" vertical="center"/>
    </xf>
    <xf numFmtId="11" fontId="1" fillId="9" borderId="15" xfId="0" applyNumberFormat="1" applyFont="1" applyFill="1" applyBorder="1" applyAlignment="1">
      <alignment horizontal="center" vertical="center"/>
    </xf>
    <xf numFmtId="11" fontId="1" fillId="9" borderId="16" xfId="0" applyNumberFormat="1" applyFont="1" applyFill="1" applyBorder="1" applyAlignment="1">
      <alignment horizontal="center" vertical="center"/>
    </xf>
    <xf numFmtId="11" fontId="1" fillId="9" borderId="17" xfId="0" applyNumberFormat="1" applyFont="1" applyFill="1" applyBorder="1" applyAlignment="1">
      <alignment horizontal="center" vertical="center"/>
    </xf>
    <xf numFmtId="11" fontId="1" fillId="9" borderId="18" xfId="0" applyNumberFormat="1" applyFont="1" applyFill="1" applyBorder="1" applyAlignment="1">
      <alignment horizontal="center" vertical="center"/>
    </xf>
    <xf numFmtId="11" fontId="1" fillId="9" borderId="5" xfId="0" applyNumberFormat="1" applyFont="1" applyFill="1" applyBorder="1" applyAlignment="1">
      <alignment horizontal="center" vertical="center"/>
    </xf>
    <xf numFmtId="11" fontId="1" fillId="9" borderId="0" xfId="0" applyNumberFormat="1" applyFont="1" applyFill="1" applyAlignment="1">
      <alignment horizontal="center" vertical="center"/>
    </xf>
    <xf numFmtId="11" fontId="1" fillId="9" borderId="7" xfId="0" applyNumberFormat="1" applyFont="1" applyFill="1" applyBorder="1" applyAlignment="1">
      <alignment horizontal="center" vertical="center"/>
    </xf>
    <xf numFmtId="11" fontId="1" fillId="9" borderId="8" xfId="0" applyNumberFormat="1" applyFont="1" applyFill="1" applyBorder="1" applyAlignment="1">
      <alignment horizontal="center" vertical="center"/>
    </xf>
    <xf numFmtId="11" fontId="1" fillId="9" borderId="9" xfId="0" applyNumberFormat="1" applyFont="1" applyFill="1" applyBorder="1" applyAlignment="1">
      <alignment horizontal="center" vertical="center"/>
    </xf>
    <xf numFmtId="11" fontId="1" fillId="9" borderId="10" xfId="0" applyNumberFormat="1" applyFont="1" applyFill="1" applyBorder="1" applyAlignment="1">
      <alignment horizontal="center" vertical="center"/>
    </xf>
    <xf numFmtId="11" fontId="1" fillId="9" borderId="11" xfId="0" applyNumberFormat="1" applyFont="1" applyFill="1" applyBorder="1" applyAlignment="1">
      <alignment horizontal="center" vertical="center"/>
    </xf>
    <xf numFmtId="11" fontId="1" fillId="9" borderId="12" xfId="0" applyNumberFormat="1" applyFont="1" applyFill="1" applyBorder="1" applyAlignment="1">
      <alignment horizontal="center" vertical="center"/>
    </xf>
    <xf numFmtId="11" fontId="1" fillId="9" borderId="13" xfId="0" applyNumberFormat="1" applyFont="1" applyFill="1" applyBorder="1" applyAlignment="1">
      <alignment horizontal="center" vertical="center"/>
    </xf>
    <xf numFmtId="11" fontId="1" fillId="9" borderId="14" xfId="0" applyNumberFormat="1" applyFont="1" applyFill="1" applyBorder="1" applyAlignment="1">
      <alignment horizontal="center" vertical="center"/>
    </xf>
    <xf numFmtId="11" fontId="1" fillId="10" borderId="5" xfId="0" applyNumberFormat="1" applyFont="1" applyFill="1" applyBorder="1" applyAlignment="1">
      <alignment horizontal="center" vertical="center"/>
    </xf>
    <xf numFmtId="11" fontId="1" fillId="10" borderId="0" xfId="0" applyNumberFormat="1" applyFont="1" applyFill="1" applyAlignment="1">
      <alignment horizontal="center" vertical="center"/>
    </xf>
    <xf numFmtId="11" fontId="1" fillId="10" borderId="7" xfId="0" applyNumberFormat="1" applyFont="1" applyFill="1" applyBorder="1" applyAlignment="1">
      <alignment horizontal="center" vertical="center"/>
    </xf>
    <xf numFmtId="11" fontId="1" fillId="10" borderId="8" xfId="0" applyNumberFormat="1" applyFont="1" applyFill="1" applyBorder="1" applyAlignment="1">
      <alignment horizontal="center" vertical="center"/>
    </xf>
    <xf numFmtId="11" fontId="1" fillId="10" borderId="9" xfId="0" applyNumberFormat="1" applyFont="1" applyFill="1" applyBorder="1" applyAlignment="1">
      <alignment horizontal="center" vertical="center"/>
    </xf>
    <xf numFmtId="11" fontId="1" fillId="11" borderId="1" xfId="0" applyNumberFormat="1" applyFont="1" applyFill="1" applyBorder="1" applyAlignment="1">
      <alignment horizontal="center" vertical="center"/>
    </xf>
    <xf numFmtId="11" fontId="1" fillId="11" borderId="15" xfId="0" applyNumberFormat="1" applyFont="1" applyFill="1" applyBorder="1" applyAlignment="1">
      <alignment horizontal="center" vertical="center"/>
    </xf>
    <xf numFmtId="11" fontId="1" fillId="11" borderId="16" xfId="0" applyNumberFormat="1" applyFont="1" applyFill="1" applyBorder="1" applyAlignment="1">
      <alignment horizontal="center" vertical="center"/>
    </xf>
    <xf numFmtId="11" fontId="1" fillId="11" borderId="17" xfId="0" applyNumberFormat="1" applyFont="1" applyFill="1" applyBorder="1" applyAlignment="1">
      <alignment horizontal="center" vertical="center"/>
    </xf>
    <xf numFmtId="11" fontId="1" fillId="11" borderId="18" xfId="0" applyNumberFormat="1" applyFont="1" applyFill="1" applyBorder="1" applyAlignment="1">
      <alignment horizontal="center" vertical="center"/>
    </xf>
    <xf numFmtId="11" fontId="1" fillId="11" borderId="5" xfId="0" applyNumberFormat="1" applyFont="1" applyFill="1" applyBorder="1" applyAlignment="1">
      <alignment horizontal="center" vertical="center"/>
    </xf>
    <xf numFmtId="11" fontId="1" fillId="11" borderId="0" xfId="0" applyNumberFormat="1" applyFont="1" applyFill="1" applyAlignment="1">
      <alignment horizontal="center" vertical="center"/>
    </xf>
    <xf numFmtId="11" fontId="1" fillId="11" borderId="7" xfId="0" applyNumberFormat="1" applyFont="1" applyFill="1" applyBorder="1" applyAlignment="1">
      <alignment horizontal="center" vertical="center"/>
    </xf>
    <xf numFmtId="11" fontId="1" fillId="11" borderId="8" xfId="0" applyNumberFormat="1" applyFont="1" applyFill="1" applyBorder="1" applyAlignment="1">
      <alignment horizontal="center" vertical="center"/>
    </xf>
    <xf numFmtId="11" fontId="1" fillId="11" borderId="9" xfId="0" applyNumberFormat="1" applyFont="1" applyFill="1" applyBorder="1" applyAlignment="1">
      <alignment horizontal="center" vertical="center"/>
    </xf>
    <xf numFmtId="11" fontId="2" fillId="2" borderId="5" xfId="0" applyNumberFormat="1" applyFont="1" applyFill="1" applyBorder="1" applyAlignment="1">
      <alignment horizontal="center" vertical="center"/>
    </xf>
    <xf numFmtId="11" fontId="0" fillId="0" borderId="0" xfId="0" applyNumberFormat="1"/>
    <xf numFmtId="11" fontId="1" fillId="3" borderId="20" xfId="0" applyNumberFormat="1" applyFont="1" applyFill="1" applyBorder="1" applyAlignment="1">
      <alignment horizontal="center" vertical="center"/>
    </xf>
    <xf numFmtId="11" fontId="1" fillId="3" borderId="21" xfId="0" applyNumberFormat="1" applyFont="1" applyFill="1" applyBorder="1" applyAlignment="1">
      <alignment horizontal="center" vertical="center"/>
    </xf>
    <xf numFmtId="11" fontId="1" fillId="4" borderId="22" xfId="0" applyNumberFormat="1" applyFont="1" applyFill="1" applyBorder="1" applyAlignment="1">
      <alignment horizontal="center" vertical="center"/>
    </xf>
    <xf numFmtId="11" fontId="1" fillId="4" borderId="20" xfId="0" applyNumberFormat="1" applyFont="1" applyFill="1" applyBorder="1" applyAlignment="1">
      <alignment horizontal="center" vertical="center"/>
    </xf>
    <xf numFmtId="11" fontId="1" fillId="4" borderId="21" xfId="0" applyNumberFormat="1" applyFont="1" applyFill="1" applyBorder="1" applyAlignment="1">
      <alignment horizontal="center" vertical="center"/>
    </xf>
    <xf numFmtId="11" fontId="1" fillId="5" borderId="22" xfId="0" applyNumberFormat="1" applyFont="1" applyFill="1" applyBorder="1" applyAlignment="1">
      <alignment horizontal="center" vertical="center"/>
    </xf>
    <xf numFmtId="11" fontId="1" fillId="5" borderId="20" xfId="0" applyNumberFormat="1" applyFont="1" applyFill="1" applyBorder="1" applyAlignment="1">
      <alignment horizontal="center" vertical="center"/>
    </xf>
    <xf numFmtId="11" fontId="1" fillId="5" borderId="21" xfId="0" applyNumberFormat="1" applyFont="1" applyFill="1" applyBorder="1" applyAlignment="1">
      <alignment horizontal="center" vertical="center"/>
    </xf>
    <xf numFmtId="11" fontId="1" fillId="6" borderId="23" xfId="0" applyNumberFormat="1" applyFont="1" applyFill="1" applyBorder="1" applyAlignment="1">
      <alignment horizontal="center" vertical="center"/>
    </xf>
    <xf numFmtId="11" fontId="1" fillId="7" borderId="22" xfId="0" applyNumberFormat="1" applyFont="1" applyFill="1" applyBorder="1" applyAlignment="1">
      <alignment horizontal="center" vertical="center"/>
    </xf>
    <xf numFmtId="11" fontId="1" fillId="7" borderId="20" xfId="0" applyNumberFormat="1" applyFont="1" applyFill="1" applyBorder="1" applyAlignment="1">
      <alignment horizontal="center" vertical="center"/>
    </xf>
    <xf numFmtId="11" fontId="1" fillId="7" borderId="21" xfId="0" applyNumberFormat="1" applyFont="1" applyFill="1" applyBorder="1" applyAlignment="1">
      <alignment horizontal="center" vertical="center"/>
    </xf>
    <xf numFmtId="11" fontId="1" fillId="8" borderId="22" xfId="0" applyNumberFormat="1" applyFont="1" applyFill="1" applyBorder="1" applyAlignment="1">
      <alignment horizontal="center" vertical="center"/>
    </xf>
    <xf numFmtId="11" fontId="1" fillId="8" borderId="20" xfId="0" applyNumberFormat="1" applyFont="1" applyFill="1" applyBorder="1" applyAlignment="1">
      <alignment horizontal="center" vertical="center"/>
    </xf>
    <xf numFmtId="11" fontId="1" fillId="8" borderId="21" xfId="0" applyNumberFormat="1" applyFont="1" applyFill="1" applyBorder="1" applyAlignment="1">
      <alignment horizontal="center" vertical="center"/>
    </xf>
    <xf numFmtId="11" fontId="1" fillId="9" borderId="22" xfId="0" applyNumberFormat="1" applyFont="1" applyFill="1" applyBorder="1" applyAlignment="1">
      <alignment horizontal="center" vertical="center"/>
    </xf>
    <xf numFmtId="11" fontId="1" fillId="9" borderId="20" xfId="0" applyNumberFormat="1" applyFont="1" applyFill="1" applyBorder="1" applyAlignment="1">
      <alignment horizontal="center" vertical="center"/>
    </xf>
    <xf numFmtId="11" fontId="1" fillId="9" borderId="21" xfId="0" applyNumberFormat="1" applyFont="1" applyFill="1" applyBorder="1" applyAlignment="1">
      <alignment horizontal="center" vertical="center"/>
    </xf>
    <xf numFmtId="11" fontId="1" fillId="10" borderId="20" xfId="0" applyNumberFormat="1" applyFont="1" applyFill="1" applyBorder="1" applyAlignment="1">
      <alignment horizontal="center" vertical="center"/>
    </xf>
    <xf numFmtId="11" fontId="1" fillId="11" borderId="22" xfId="0" applyNumberFormat="1" applyFont="1" applyFill="1" applyBorder="1" applyAlignment="1">
      <alignment horizontal="center" vertical="center"/>
    </xf>
    <xf numFmtId="11" fontId="1" fillId="11" borderId="2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620F-6361-2A48-A0B7-786DF256512D}">
  <dimension ref="A1:O55"/>
  <sheetViews>
    <sheetView tabSelected="1" topLeftCell="A5" zoomScale="71" workbookViewId="0">
      <selection activeCell="P26" sqref="P26"/>
    </sheetView>
  </sheetViews>
  <sheetFormatPr baseColWidth="10" defaultRowHeight="16" x14ac:dyDescent="0.2"/>
  <cols>
    <col min="1" max="1" width="41.33203125" bestFit="1" customWidth="1"/>
    <col min="4" max="6" width="13.5" bestFit="1" customWidth="1"/>
    <col min="7" max="12" width="18.1640625" bestFit="1" customWidth="1"/>
    <col min="13" max="13" width="13" bestFit="1" customWidth="1"/>
    <col min="14" max="14" width="16.33203125" bestFit="1" customWidth="1"/>
  </cols>
  <sheetData>
    <row r="1" spans="1:15" x14ac:dyDescent="0.2">
      <c r="A1" s="1"/>
      <c r="B1" s="1"/>
      <c r="C1" s="2" t="s">
        <v>7</v>
      </c>
      <c r="D1" s="3">
        <v>103</v>
      </c>
      <c r="E1" s="4">
        <v>102</v>
      </c>
      <c r="F1" s="5">
        <v>101</v>
      </c>
      <c r="G1" s="3">
        <v>106</v>
      </c>
      <c r="H1" s="4">
        <v>104</v>
      </c>
      <c r="I1" s="5">
        <v>105</v>
      </c>
      <c r="J1" s="3">
        <v>107</v>
      </c>
      <c r="K1" s="4">
        <v>108</v>
      </c>
      <c r="L1" s="5">
        <v>109</v>
      </c>
    </row>
    <row r="2" spans="1:15" x14ac:dyDescent="0.2">
      <c r="A2" s="6"/>
      <c r="B2" s="6"/>
      <c r="C2" s="7" t="s">
        <v>8</v>
      </c>
      <c r="D2" s="8">
        <v>61.266408038973971</v>
      </c>
      <c r="E2" s="9">
        <v>60.736988483904163</v>
      </c>
      <c r="F2" s="10">
        <v>67.215376533337064</v>
      </c>
      <c r="G2" s="8">
        <v>97.473725767288826</v>
      </c>
      <c r="H2" s="9">
        <v>102.56961234048353</v>
      </c>
      <c r="I2" s="10">
        <v>83.326458087506708</v>
      </c>
      <c r="J2" s="8">
        <v>132.75477995455239</v>
      </c>
      <c r="K2" s="9">
        <v>137.62721638788165</v>
      </c>
      <c r="L2" s="10">
        <v>118.86131072429896</v>
      </c>
    </row>
    <row r="3" spans="1:15" x14ac:dyDescent="0.2">
      <c r="A3" s="11" t="s">
        <v>9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1" t="s">
        <v>15</v>
      </c>
      <c r="K3" s="11" t="s">
        <v>16</v>
      </c>
      <c r="L3" s="11" t="s">
        <v>17</v>
      </c>
      <c r="M3" s="117" t="s">
        <v>72</v>
      </c>
      <c r="N3" s="117" t="s">
        <v>73</v>
      </c>
      <c r="O3" s="117" t="s">
        <v>74</v>
      </c>
    </row>
    <row r="4" spans="1:15" x14ac:dyDescent="0.2">
      <c r="A4" s="12" t="s">
        <v>18</v>
      </c>
      <c r="B4" s="12" t="s">
        <v>19</v>
      </c>
      <c r="C4" s="13"/>
      <c r="D4" s="14">
        <v>4164105.146130132</v>
      </c>
      <c r="E4" s="15">
        <v>4607932.0194508573</v>
      </c>
      <c r="F4" s="16">
        <v>4157299.6152362227</v>
      </c>
      <c r="G4" s="14">
        <v>2684873.1998282284</v>
      </c>
      <c r="H4" s="15">
        <v>2688449.1489021848</v>
      </c>
      <c r="I4" s="16">
        <v>3647548.2934941873</v>
      </c>
      <c r="J4" s="14">
        <v>3145116.372780988</v>
      </c>
      <c r="K4" s="15">
        <v>3226988.3505331567</v>
      </c>
      <c r="L4" s="16">
        <v>3211576.5396987335</v>
      </c>
      <c r="M4" s="118">
        <f>AVERAGE(D4:F4)</f>
        <v>4309778.9269390712</v>
      </c>
      <c r="N4" s="118">
        <f>AVERAGE(G4:I4)</f>
        <v>3006956.8807415334</v>
      </c>
      <c r="O4">
        <f>LOG(N4/M4,2)</f>
        <v>-0.51930968712763892</v>
      </c>
    </row>
    <row r="5" spans="1:15" x14ac:dyDescent="0.2">
      <c r="A5" s="12" t="s">
        <v>20</v>
      </c>
      <c r="B5" s="12" t="s">
        <v>19</v>
      </c>
      <c r="C5" s="13"/>
      <c r="D5" s="14">
        <v>1184265.7064837955</v>
      </c>
      <c r="E5" s="15">
        <v>1104426.2264958471</v>
      </c>
      <c r="F5" s="16">
        <v>1112410.6544715329</v>
      </c>
      <c r="G5" s="14">
        <v>670152.68459063536</v>
      </c>
      <c r="H5" s="15">
        <v>687049.53047956305</v>
      </c>
      <c r="I5" s="16">
        <v>959972.02852419345</v>
      </c>
      <c r="J5" s="14">
        <v>569247.13389507274</v>
      </c>
      <c r="K5" s="15">
        <v>644058.86659933149</v>
      </c>
      <c r="L5" s="16">
        <v>575300.0752163236</v>
      </c>
      <c r="M5" s="118">
        <f t="shared" ref="M5:M55" si="0">AVERAGE(D5:F5)</f>
        <v>1133700.8624837252</v>
      </c>
      <c r="N5" s="118">
        <f t="shared" ref="N5:N55" si="1">AVERAGE(G5:I5)</f>
        <v>772391.41453146387</v>
      </c>
      <c r="O5">
        <f t="shared" ref="O5:O55" si="2">LOG(N5/M5,2)</f>
        <v>-0.55363598868511266</v>
      </c>
    </row>
    <row r="6" spans="1:15" x14ac:dyDescent="0.2">
      <c r="A6" s="12" t="s">
        <v>21</v>
      </c>
      <c r="B6" s="12" t="s">
        <v>19</v>
      </c>
      <c r="C6" s="13"/>
      <c r="D6" s="14">
        <v>117965.3456328372</v>
      </c>
      <c r="E6" s="15">
        <v>127014.13409794591</v>
      </c>
      <c r="F6" s="16">
        <v>102216.73007503565</v>
      </c>
      <c r="G6" s="14">
        <v>109182.60193939864</v>
      </c>
      <c r="H6" s="15">
        <v>104945.50729379558</v>
      </c>
      <c r="I6" s="16">
        <v>132452.52772426154</v>
      </c>
      <c r="J6" s="14">
        <v>90835.493864162607</v>
      </c>
      <c r="K6" s="15">
        <v>73790.077766146074</v>
      </c>
      <c r="L6" s="16">
        <v>79553.35459772055</v>
      </c>
      <c r="M6" s="118">
        <f t="shared" si="0"/>
        <v>115732.06993527291</v>
      </c>
      <c r="N6" s="118">
        <f t="shared" si="1"/>
        <v>115526.87898581859</v>
      </c>
      <c r="O6">
        <f t="shared" si="2"/>
        <v>-2.5601434606360462E-3</v>
      </c>
    </row>
    <row r="7" spans="1:15" x14ac:dyDescent="0.2">
      <c r="A7" s="12" t="s">
        <v>22</v>
      </c>
      <c r="B7" s="12" t="s">
        <v>19</v>
      </c>
      <c r="C7" s="13"/>
      <c r="D7" s="14">
        <v>487604.70796649461</v>
      </c>
      <c r="E7" s="15">
        <v>507725.99646049744</v>
      </c>
      <c r="F7" s="16">
        <v>414552.64311701106</v>
      </c>
      <c r="G7" s="14">
        <v>453478.63387852377</v>
      </c>
      <c r="H7" s="15">
        <v>447581.82226140978</v>
      </c>
      <c r="I7" s="16">
        <v>558360.89842123946</v>
      </c>
      <c r="J7" s="14">
        <v>266545.70940582227</v>
      </c>
      <c r="K7" s="15">
        <v>242209.91221715347</v>
      </c>
      <c r="L7" s="16">
        <v>259910.05661764467</v>
      </c>
      <c r="M7" s="118">
        <f t="shared" si="0"/>
        <v>469961.11584800103</v>
      </c>
      <c r="N7" s="118">
        <f t="shared" si="1"/>
        <v>486473.7848537243</v>
      </c>
      <c r="O7">
        <f t="shared" si="2"/>
        <v>4.9820668548690807E-2</v>
      </c>
    </row>
    <row r="8" spans="1:15" x14ac:dyDescent="0.2">
      <c r="A8" s="12" t="s">
        <v>23</v>
      </c>
      <c r="B8" s="12" t="s">
        <v>19</v>
      </c>
      <c r="C8" s="13"/>
      <c r="D8" s="14">
        <v>17410114.745448414</v>
      </c>
      <c r="E8" s="15">
        <v>19975666.381969616</v>
      </c>
      <c r="F8" s="16">
        <v>15968194.234062904</v>
      </c>
      <c r="G8" s="14">
        <v>15927676.958881702</v>
      </c>
      <c r="H8" s="15">
        <v>15321684.562706728</v>
      </c>
      <c r="I8" s="16">
        <v>18764801.107446019</v>
      </c>
      <c r="J8" s="14">
        <v>12539247.25399627</v>
      </c>
      <c r="K8" s="15">
        <v>12534500.386450434</v>
      </c>
      <c r="L8" s="16">
        <v>13082038.550010033</v>
      </c>
      <c r="M8" s="118">
        <f t="shared" si="0"/>
        <v>17784658.453826975</v>
      </c>
      <c r="N8" s="118">
        <f t="shared" si="1"/>
        <v>16671387.543011481</v>
      </c>
      <c r="O8">
        <f t="shared" si="2"/>
        <v>-9.3259084976687029E-2</v>
      </c>
    </row>
    <row r="9" spans="1:15" x14ac:dyDescent="0.2">
      <c r="A9" s="12" t="s">
        <v>24</v>
      </c>
      <c r="B9" s="12" t="s">
        <v>19</v>
      </c>
      <c r="C9" s="13"/>
      <c r="D9" s="14">
        <v>19528192.010847263</v>
      </c>
      <c r="E9" s="15">
        <v>19222757.089930568</v>
      </c>
      <c r="F9" s="16">
        <v>17116151.96307645</v>
      </c>
      <c r="G9" s="14">
        <v>12286788.255732348</v>
      </c>
      <c r="H9" s="15">
        <v>12186315.785719851</v>
      </c>
      <c r="I9" s="16">
        <v>16220042.013313917</v>
      </c>
      <c r="J9" s="14">
        <v>13926984.524647234</v>
      </c>
      <c r="K9" s="15">
        <v>13281601.575434836</v>
      </c>
      <c r="L9" s="16">
        <v>12471679.522687202</v>
      </c>
      <c r="M9" s="118">
        <f t="shared" si="0"/>
        <v>18622367.021284763</v>
      </c>
      <c r="N9" s="118">
        <f t="shared" si="1"/>
        <v>13564382.018255373</v>
      </c>
      <c r="O9">
        <f t="shared" si="2"/>
        <v>-0.45721313911282613</v>
      </c>
    </row>
    <row r="10" spans="1:15" x14ac:dyDescent="0.2">
      <c r="A10" s="12" t="s">
        <v>25</v>
      </c>
      <c r="B10" s="12" t="s">
        <v>19</v>
      </c>
      <c r="C10" s="13"/>
      <c r="D10" s="14">
        <v>254989.61829232817</v>
      </c>
      <c r="E10" s="15">
        <v>280400.74796453374</v>
      </c>
      <c r="F10" s="16">
        <v>264659.81323748175</v>
      </c>
      <c r="G10" s="14">
        <v>197980.58243995201</v>
      </c>
      <c r="H10" s="15">
        <v>212235.16890887156</v>
      </c>
      <c r="I10" s="16">
        <v>287300.85916839581</v>
      </c>
      <c r="J10" s="14">
        <v>461464.80767752748</v>
      </c>
      <c r="K10" s="15">
        <v>189862.65715318808</v>
      </c>
      <c r="L10" s="16">
        <v>198406.81426356608</v>
      </c>
      <c r="M10" s="118">
        <f t="shared" si="0"/>
        <v>266683.39316478121</v>
      </c>
      <c r="N10" s="118">
        <f t="shared" si="1"/>
        <v>232505.53683907315</v>
      </c>
      <c r="O10">
        <f t="shared" si="2"/>
        <v>-0.19786291590251479</v>
      </c>
    </row>
    <row r="11" spans="1:15" x14ac:dyDescent="0.2">
      <c r="A11" s="12" t="s">
        <v>26</v>
      </c>
      <c r="B11" s="12" t="s">
        <v>19</v>
      </c>
      <c r="C11" s="13"/>
      <c r="D11" s="14">
        <v>1873746.5876402066</v>
      </c>
      <c r="E11" s="15">
        <v>1913240.9903858702</v>
      </c>
      <c r="F11" s="16">
        <v>1800131.0301369645</v>
      </c>
      <c r="G11" s="14">
        <v>1107629.3755073827</v>
      </c>
      <c r="H11" s="15">
        <v>1120360.2838873542</v>
      </c>
      <c r="I11" s="16">
        <v>1538318.8238408836</v>
      </c>
      <c r="J11" s="14">
        <v>1085276.9372923765</v>
      </c>
      <c r="K11" s="15">
        <v>1191547.1322025487</v>
      </c>
      <c r="L11" s="16">
        <v>1209315.0001804153</v>
      </c>
      <c r="M11" s="118">
        <f t="shared" si="0"/>
        <v>1862372.8693876804</v>
      </c>
      <c r="N11" s="118">
        <f t="shared" si="1"/>
        <v>1255436.1610785401</v>
      </c>
      <c r="O11">
        <f t="shared" si="2"/>
        <v>-0.56895327722788436</v>
      </c>
    </row>
    <row r="12" spans="1:15" x14ac:dyDescent="0.2">
      <c r="A12" s="12" t="s">
        <v>27</v>
      </c>
      <c r="B12" s="12" t="s">
        <v>19</v>
      </c>
      <c r="C12" s="13"/>
      <c r="D12" s="14">
        <v>10677916.903237402</v>
      </c>
      <c r="E12" s="15">
        <v>9459412.0212637335</v>
      </c>
      <c r="F12" s="16">
        <v>9370084.472972177</v>
      </c>
      <c r="G12" s="14">
        <v>5235109.1023058705</v>
      </c>
      <c r="H12" s="15">
        <v>5269906.8531689821</v>
      </c>
      <c r="I12" s="16">
        <v>7809241.7454806371</v>
      </c>
      <c r="J12" s="14">
        <v>5299129.5472813314</v>
      </c>
      <c r="K12" s="15">
        <v>5264937.3867871268</v>
      </c>
      <c r="L12" s="16">
        <v>4641304.2952185879</v>
      </c>
      <c r="M12" s="118">
        <f t="shared" si="0"/>
        <v>9835804.4658244383</v>
      </c>
      <c r="N12" s="118">
        <f t="shared" si="1"/>
        <v>6104752.5669851638</v>
      </c>
      <c r="O12">
        <f t="shared" si="2"/>
        <v>-0.68811023245842529</v>
      </c>
    </row>
    <row r="13" spans="1:15" x14ac:dyDescent="0.2">
      <c r="A13" s="12" t="s">
        <v>28</v>
      </c>
      <c r="B13" s="12" t="s">
        <v>19</v>
      </c>
      <c r="C13" s="13"/>
      <c r="D13" s="14">
        <v>9605917.0732780565</v>
      </c>
      <c r="E13" s="15">
        <v>10109218.687434863</v>
      </c>
      <c r="F13" s="16">
        <v>8850799.0534716472</v>
      </c>
      <c r="G13" s="14">
        <v>5625203.3220628873</v>
      </c>
      <c r="H13" s="15">
        <v>5752376.1622634456</v>
      </c>
      <c r="I13" s="16">
        <v>7479281.0507499641</v>
      </c>
      <c r="J13" s="14">
        <v>5506538.2749326164</v>
      </c>
      <c r="K13" s="15">
        <v>5609924.5139421644</v>
      </c>
      <c r="L13" s="16">
        <v>5366174.7806185642</v>
      </c>
      <c r="M13" s="118">
        <f t="shared" si="0"/>
        <v>9521978.2713948563</v>
      </c>
      <c r="N13" s="118">
        <f t="shared" si="1"/>
        <v>6285620.1783587663</v>
      </c>
      <c r="O13">
        <f t="shared" si="2"/>
        <v>-0.59920623982191246</v>
      </c>
    </row>
    <row r="14" spans="1:15" x14ac:dyDescent="0.2">
      <c r="A14" s="12" t="s">
        <v>29</v>
      </c>
      <c r="B14" s="12" t="s">
        <v>19</v>
      </c>
      <c r="C14" s="13"/>
      <c r="D14" s="14">
        <v>662161.09771268058</v>
      </c>
      <c r="E14" s="15">
        <v>652699.41743169806</v>
      </c>
      <c r="F14" s="16">
        <v>579846.63644143415</v>
      </c>
      <c r="G14" s="14">
        <v>371114.82828062371</v>
      </c>
      <c r="H14" s="15">
        <v>335022.04225877847</v>
      </c>
      <c r="I14" s="16">
        <v>481997.68623096845</v>
      </c>
      <c r="J14" s="14">
        <v>311639.62619020784</v>
      </c>
      <c r="K14" s="15">
        <v>363569.87602639524</v>
      </c>
      <c r="L14" s="16">
        <v>306182.32945802511</v>
      </c>
      <c r="M14" s="118">
        <f t="shared" si="0"/>
        <v>631569.05052860419</v>
      </c>
      <c r="N14" s="118">
        <f t="shared" si="1"/>
        <v>396044.85225679021</v>
      </c>
      <c r="O14">
        <f t="shared" si="2"/>
        <v>-0.67327664954525746</v>
      </c>
    </row>
    <row r="15" spans="1:15" x14ac:dyDescent="0.2">
      <c r="A15" s="12" t="s">
        <v>30</v>
      </c>
      <c r="B15" s="12" t="s">
        <v>19</v>
      </c>
      <c r="C15" s="13"/>
      <c r="D15" s="14">
        <v>3463759.6162811364</v>
      </c>
      <c r="E15" s="15">
        <v>3430450.1128701163</v>
      </c>
      <c r="F15" s="16">
        <v>2924082.2433319208</v>
      </c>
      <c r="G15" s="14">
        <v>1717129.2846607214</v>
      </c>
      <c r="H15" s="15">
        <v>1711222.5443278162</v>
      </c>
      <c r="I15" s="16">
        <v>2482869.7360774921</v>
      </c>
      <c r="J15" s="14">
        <v>2183039.6547620655</v>
      </c>
      <c r="K15" s="15">
        <v>2158965.4415633674</v>
      </c>
      <c r="L15" s="16">
        <v>2001302.312337453</v>
      </c>
      <c r="M15" s="118">
        <f t="shared" si="0"/>
        <v>3272763.9908277243</v>
      </c>
      <c r="N15" s="118">
        <f t="shared" si="1"/>
        <v>1970407.1883553434</v>
      </c>
      <c r="O15">
        <f t="shared" si="2"/>
        <v>-0.73201577277767005</v>
      </c>
    </row>
    <row r="16" spans="1:15" x14ac:dyDescent="0.2">
      <c r="A16" s="12" t="s">
        <v>31</v>
      </c>
      <c r="B16" s="12" t="s">
        <v>19</v>
      </c>
      <c r="C16" s="13"/>
      <c r="D16" s="14">
        <v>8079681.0820882916</v>
      </c>
      <c r="E16" s="15">
        <v>8210344.7248154618</v>
      </c>
      <c r="F16" s="16">
        <v>7389206.3336677961</v>
      </c>
      <c r="G16" s="14">
        <v>4677069.6350358697</v>
      </c>
      <c r="H16" s="15">
        <v>4726725.4982950296</v>
      </c>
      <c r="I16" s="16">
        <v>6530999.9187592212</v>
      </c>
      <c r="J16" s="14">
        <v>4365724.3241893947</v>
      </c>
      <c r="K16" s="15">
        <v>4853121.915345313</v>
      </c>
      <c r="L16" s="16">
        <v>4437255.2413068693</v>
      </c>
      <c r="M16" s="118">
        <f t="shared" si="0"/>
        <v>7893077.3801905168</v>
      </c>
      <c r="N16" s="118">
        <f t="shared" si="1"/>
        <v>5311598.3506967071</v>
      </c>
      <c r="O16">
        <f t="shared" si="2"/>
        <v>-0.57144183488064149</v>
      </c>
    </row>
    <row r="17" spans="1:15" x14ac:dyDescent="0.2">
      <c r="A17" s="12" t="s">
        <v>32</v>
      </c>
      <c r="B17" s="12" t="s">
        <v>19</v>
      </c>
      <c r="C17" s="13"/>
      <c r="D17" s="14">
        <v>6644412.5423680926</v>
      </c>
      <c r="E17" s="15">
        <v>7271682.8414540803</v>
      </c>
      <c r="F17" s="16">
        <v>6149993.2801087154</v>
      </c>
      <c r="G17" s="14">
        <v>7609050.1738972301</v>
      </c>
      <c r="H17" s="15">
        <v>7117145.4326719027</v>
      </c>
      <c r="I17" s="16">
        <v>9030497.9507201761</v>
      </c>
      <c r="J17" s="14">
        <v>6827379.0616826611</v>
      </c>
      <c r="K17" s="15">
        <v>5981239.6022018418</v>
      </c>
      <c r="L17" s="16">
        <v>6016187.1650453955</v>
      </c>
      <c r="M17" s="118">
        <f t="shared" si="0"/>
        <v>6688696.2213102961</v>
      </c>
      <c r="N17" s="118">
        <f t="shared" si="1"/>
        <v>7918897.8524297699</v>
      </c>
      <c r="O17">
        <f t="shared" si="2"/>
        <v>0.24357462655893403</v>
      </c>
    </row>
    <row r="18" spans="1:15" x14ac:dyDescent="0.2">
      <c r="A18" s="12" t="s">
        <v>33</v>
      </c>
      <c r="B18" s="12" t="s">
        <v>19</v>
      </c>
      <c r="C18" s="13"/>
      <c r="D18" s="14">
        <v>1105608.6878295531</v>
      </c>
      <c r="E18" s="15">
        <v>1191210.3613628049</v>
      </c>
      <c r="F18" s="16">
        <v>1042354.482166011</v>
      </c>
      <c r="G18" s="14">
        <v>698823.55951617204</v>
      </c>
      <c r="H18" s="15">
        <v>737965.24402115308</v>
      </c>
      <c r="I18" s="16">
        <v>997163.85295942228</v>
      </c>
      <c r="J18" s="14">
        <v>810897.70957289345</v>
      </c>
      <c r="K18" s="15">
        <v>767945.28563397028</v>
      </c>
      <c r="L18" s="16">
        <v>769459.25838005205</v>
      </c>
      <c r="M18" s="118">
        <f t="shared" si="0"/>
        <v>1113057.843786123</v>
      </c>
      <c r="N18" s="118">
        <f t="shared" si="1"/>
        <v>811317.55216558243</v>
      </c>
      <c r="O18">
        <f t="shared" si="2"/>
        <v>-0.45618996378428006</v>
      </c>
    </row>
    <row r="19" spans="1:15" x14ac:dyDescent="0.2">
      <c r="A19" s="12" t="s">
        <v>34</v>
      </c>
      <c r="B19" s="12" t="s">
        <v>19</v>
      </c>
      <c r="C19" s="13"/>
      <c r="D19" s="14">
        <v>7109005.5699517075</v>
      </c>
      <c r="E19" s="15">
        <v>7739892.3742256342</v>
      </c>
      <c r="F19" s="16">
        <v>6918530.0742807938</v>
      </c>
      <c r="G19" s="14">
        <v>4552184.9555576062</v>
      </c>
      <c r="H19" s="15">
        <v>4360932.8122950708</v>
      </c>
      <c r="I19" s="16">
        <v>5708843.7804525169</v>
      </c>
      <c r="J19" s="14">
        <v>4523348.0045356965</v>
      </c>
      <c r="K19" s="15">
        <v>5750425.9169895239</v>
      </c>
      <c r="L19" s="16">
        <v>5653785.0197425</v>
      </c>
      <c r="M19" s="118">
        <f t="shared" si="0"/>
        <v>7255809.3394860448</v>
      </c>
      <c r="N19" s="118">
        <f t="shared" si="1"/>
        <v>4873987.182768398</v>
      </c>
      <c r="O19">
        <f t="shared" si="2"/>
        <v>-0.57403408956479984</v>
      </c>
    </row>
    <row r="20" spans="1:15" x14ac:dyDescent="0.2">
      <c r="A20" s="12" t="s">
        <v>35</v>
      </c>
      <c r="B20" s="12" t="s">
        <v>19</v>
      </c>
      <c r="C20" s="13"/>
      <c r="D20" s="14">
        <v>856787.8170139757</v>
      </c>
      <c r="E20" s="15">
        <v>844503.59295625915</v>
      </c>
      <c r="F20" s="16">
        <v>724942.73651554319</v>
      </c>
      <c r="G20" s="14">
        <v>533865.13740365673</v>
      </c>
      <c r="H20" s="15">
        <v>508296.04217410483</v>
      </c>
      <c r="I20" s="16">
        <v>646721.46442859166</v>
      </c>
      <c r="J20" s="14">
        <v>467637.16546592891</v>
      </c>
      <c r="K20" s="15">
        <v>466254.6673845991</v>
      </c>
      <c r="L20" s="16">
        <v>467966.60461719858</v>
      </c>
      <c r="M20" s="118">
        <f t="shared" si="0"/>
        <v>808744.71549525938</v>
      </c>
      <c r="N20" s="118">
        <f t="shared" si="1"/>
        <v>562960.88133545115</v>
      </c>
      <c r="O20">
        <f t="shared" si="2"/>
        <v>-0.52264970354811169</v>
      </c>
    </row>
    <row r="21" spans="1:15" x14ac:dyDescent="0.2">
      <c r="A21" s="12" t="s">
        <v>36</v>
      </c>
      <c r="B21" s="12" t="s">
        <v>19</v>
      </c>
      <c r="C21" s="13"/>
      <c r="D21" s="14">
        <v>4431472.7546502789</v>
      </c>
      <c r="E21" s="15">
        <v>4417181.6498787757</v>
      </c>
      <c r="F21" s="16">
        <v>4280763.6412970461</v>
      </c>
      <c r="G21" s="14">
        <v>2820688.6300458624</v>
      </c>
      <c r="H21" s="15">
        <v>2615024.7902822047</v>
      </c>
      <c r="I21" s="16">
        <v>3611942.1238801586</v>
      </c>
      <c r="J21" s="14">
        <v>2476685.1040132749</v>
      </c>
      <c r="K21" s="15">
        <v>2791141.1571194432</v>
      </c>
      <c r="L21" s="16">
        <v>2511215.316246551</v>
      </c>
      <c r="M21" s="118">
        <f t="shared" si="0"/>
        <v>4376472.6819420336</v>
      </c>
      <c r="N21" s="118">
        <f t="shared" si="1"/>
        <v>3015885.1814027424</v>
      </c>
      <c r="O21">
        <f t="shared" si="2"/>
        <v>-0.53718706074559142</v>
      </c>
    </row>
    <row r="22" spans="1:15" x14ac:dyDescent="0.2">
      <c r="A22" s="17" t="s">
        <v>37</v>
      </c>
      <c r="B22" s="17" t="s">
        <v>19</v>
      </c>
      <c r="C22" s="18"/>
      <c r="D22" s="19" t="e">
        <v>#VALUE!</v>
      </c>
      <c r="E22" s="20" t="e">
        <v>#VALUE!</v>
      </c>
      <c r="F22" s="21" t="e">
        <v>#VALUE!</v>
      </c>
      <c r="G22" s="19" t="e">
        <v>#VALUE!</v>
      </c>
      <c r="H22" s="20" t="e">
        <v>#VALUE!</v>
      </c>
      <c r="I22" s="21" t="e">
        <v>#VALUE!</v>
      </c>
      <c r="J22" s="19" t="e">
        <v>#VALUE!</v>
      </c>
      <c r="K22" s="20" t="e">
        <v>#VALUE!</v>
      </c>
      <c r="L22" s="21" t="e">
        <v>#VALUE!</v>
      </c>
      <c r="M22" s="118" t="e">
        <f t="shared" si="0"/>
        <v>#VALUE!</v>
      </c>
      <c r="N22" s="118" t="e">
        <f t="shared" si="1"/>
        <v>#VALUE!</v>
      </c>
      <c r="O22" t="e">
        <f t="shared" si="2"/>
        <v>#VALUE!</v>
      </c>
    </row>
    <row r="23" spans="1:15" x14ac:dyDescent="0.2">
      <c r="A23" s="22" t="s">
        <v>38</v>
      </c>
      <c r="B23" s="22" t="s">
        <v>39</v>
      </c>
      <c r="C23" s="23"/>
      <c r="D23" s="24">
        <v>7397.757017380226</v>
      </c>
      <c r="E23" s="25">
        <v>7487.85890364853</v>
      </c>
      <c r="F23" s="26">
        <v>6534.7844891138784</v>
      </c>
      <c r="G23" s="24">
        <v>13338.681678220244</v>
      </c>
      <c r="H23" s="25">
        <v>12456.047857126738</v>
      </c>
      <c r="I23" s="26">
        <v>11726.983510733293</v>
      </c>
      <c r="J23" s="24">
        <v>5501.2256451332114</v>
      </c>
      <c r="K23" s="25">
        <v>7423.3136934240747</v>
      </c>
      <c r="L23" s="26">
        <v>10689.348722958848</v>
      </c>
      <c r="M23" s="118">
        <f t="shared" si="0"/>
        <v>7140.1334700475445</v>
      </c>
      <c r="N23" s="118">
        <f t="shared" si="1"/>
        <v>12507.237682026758</v>
      </c>
      <c r="O23">
        <f t="shared" si="2"/>
        <v>0.8087402467576178</v>
      </c>
    </row>
    <row r="24" spans="1:15" x14ac:dyDescent="0.2">
      <c r="A24" s="27" t="s">
        <v>40</v>
      </c>
      <c r="B24" s="27" t="s">
        <v>39</v>
      </c>
      <c r="C24" s="28"/>
      <c r="D24" s="29">
        <v>5424.0653342791475</v>
      </c>
      <c r="E24" s="30">
        <v>5678.994112317705</v>
      </c>
      <c r="F24" s="31">
        <v>4535.1081214104752</v>
      </c>
      <c r="G24" s="29">
        <v>5645.0391699775964</v>
      </c>
      <c r="H24" s="30">
        <v>4678.0716924930321</v>
      </c>
      <c r="I24" s="31">
        <v>5861.12756031358</v>
      </c>
      <c r="J24" s="29">
        <v>7046.4204778181465</v>
      </c>
      <c r="K24" s="30">
        <v>4273.2027533166338</v>
      </c>
      <c r="L24" s="31">
        <v>4662.1394011492657</v>
      </c>
      <c r="M24" s="118">
        <f t="shared" si="0"/>
        <v>5212.7225226691089</v>
      </c>
      <c r="N24" s="118">
        <f t="shared" si="1"/>
        <v>5394.7461409280695</v>
      </c>
      <c r="O24">
        <f t="shared" si="2"/>
        <v>4.9518006627407879E-2</v>
      </c>
    </row>
    <row r="25" spans="1:15" x14ac:dyDescent="0.2">
      <c r="A25" s="32" t="s">
        <v>41</v>
      </c>
      <c r="B25" s="32" t="s">
        <v>39</v>
      </c>
      <c r="C25" s="33"/>
      <c r="D25" s="34">
        <v>71206.247267259576</v>
      </c>
      <c r="E25" s="35">
        <v>87319.986261839251</v>
      </c>
      <c r="F25" s="36">
        <v>70302.291584371735</v>
      </c>
      <c r="G25" s="34">
        <v>107350.37485877612</v>
      </c>
      <c r="H25" s="35">
        <v>93504.194674767437</v>
      </c>
      <c r="I25" s="36">
        <v>109499.83005899555</v>
      </c>
      <c r="J25" s="34">
        <v>56053.409169504055</v>
      </c>
      <c r="K25" s="35">
        <v>81409.820630409507</v>
      </c>
      <c r="L25" s="36">
        <v>78765.310116053472</v>
      </c>
      <c r="M25" s="118">
        <f t="shared" si="0"/>
        <v>76276.175037823516</v>
      </c>
      <c r="N25" s="118">
        <f t="shared" si="1"/>
        <v>103451.46653084636</v>
      </c>
      <c r="O25">
        <f t="shared" si="2"/>
        <v>0.43964969215945615</v>
      </c>
    </row>
    <row r="26" spans="1:15" x14ac:dyDescent="0.2">
      <c r="A26" s="37" t="s">
        <v>42</v>
      </c>
      <c r="B26" s="37" t="s">
        <v>43</v>
      </c>
      <c r="C26" s="38"/>
      <c r="D26" s="39">
        <v>31889.987719814104</v>
      </c>
      <c r="E26" s="40">
        <v>42232.864421320024</v>
      </c>
      <c r="F26" s="41">
        <v>33125.58992949612</v>
      </c>
      <c r="G26" s="39">
        <v>40793.587899708727</v>
      </c>
      <c r="H26" s="40">
        <v>36885.008275562766</v>
      </c>
      <c r="I26" s="41">
        <v>52516.788789995473</v>
      </c>
      <c r="J26" s="39">
        <v>22716.470179321674</v>
      </c>
      <c r="K26" s="40">
        <v>27569.336208227596</v>
      </c>
      <c r="L26" s="41">
        <v>26656.360936059224</v>
      </c>
      <c r="M26" s="118">
        <f t="shared" si="0"/>
        <v>35749.480690210075</v>
      </c>
      <c r="N26" s="118">
        <f t="shared" si="1"/>
        <v>43398.461655088991</v>
      </c>
      <c r="O26">
        <f t="shared" si="2"/>
        <v>0.27972161943975232</v>
      </c>
    </row>
    <row r="27" spans="1:15" x14ac:dyDescent="0.2">
      <c r="A27" s="42" t="s">
        <v>44</v>
      </c>
      <c r="B27" s="42" t="s">
        <v>43</v>
      </c>
      <c r="C27" s="43"/>
      <c r="D27" s="44">
        <v>20088.773593794838</v>
      </c>
      <c r="E27" s="45">
        <v>23769.189682207983</v>
      </c>
      <c r="F27" s="46">
        <v>18799.731031384941</v>
      </c>
      <c r="G27" s="44">
        <v>18464.781004646942</v>
      </c>
      <c r="H27" s="45">
        <v>16414.042732376609</v>
      </c>
      <c r="I27" s="46">
        <v>22626.114721209717</v>
      </c>
      <c r="J27" s="44">
        <v>17268.598545263805</v>
      </c>
      <c r="K27" s="45">
        <v>15509.708443016596</v>
      </c>
      <c r="L27" s="46">
        <v>15780.946622327121</v>
      </c>
      <c r="M27" s="118">
        <f t="shared" si="0"/>
        <v>20885.898102462586</v>
      </c>
      <c r="N27" s="118">
        <f t="shared" si="1"/>
        <v>19168.31281941109</v>
      </c>
      <c r="O27">
        <f t="shared" si="2"/>
        <v>-0.12380582367872182</v>
      </c>
    </row>
    <row r="28" spans="1:15" x14ac:dyDescent="0.2">
      <c r="A28" s="42" t="s">
        <v>0</v>
      </c>
      <c r="B28" s="42" t="s">
        <v>43</v>
      </c>
      <c r="C28" s="43"/>
      <c r="D28" s="44">
        <v>27438.168056639221</v>
      </c>
      <c r="E28" s="45">
        <v>33406.974080345011</v>
      </c>
      <c r="F28" s="46">
        <v>23592.756327318748</v>
      </c>
      <c r="G28" s="44">
        <v>49887.433374706154</v>
      </c>
      <c r="H28" s="45">
        <v>38298.058366060133</v>
      </c>
      <c r="I28" s="46">
        <v>50643.806263411883</v>
      </c>
      <c r="J28" s="44">
        <v>33231.391001591714</v>
      </c>
      <c r="K28" s="45">
        <v>26913.688274858909</v>
      </c>
      <c r="L28" s="46">
        <v>24311.316965893599</v>
      </c>
      <c r="M28" s="118">
        <f t="shared" si="0"/>
        <v>28145.966154767655</v>
      </c>
      <c r="N28" s="118">
        <f t="shared" si="1"/>
        <v>46276.432668059388</v>
      </c>
      <c r="O28">
        <f t="shared" si="2"/>
        <v>0.71734948321479097</v>
      </c>
    </row>
    <row r="29" spans="1:15" x14ac:dyDescent="0.2">
      <c r="A29" s="42" t="s">
        <v>3</v>
      </c>
      <c r="B29" s="42" t="s">
        <v>43</v>
      </c>
      <c r="C29" s="43"/>
      <c r="D29" s="44">
        <v>12093668.075475581</v>
      </c>
      <c r="E29" s="45">
        <v>14910010.384199228</v>
      </c>
      <c r="F29" s="46">
        <v>12607167.566482561</v>
      </c>
      <c r="G29" s="44">
        <v>9164204.3326897416</v>
      </c>
      <c r="H29" s="45">
        <v>8702696.5748576205</v>
      </c>
      <c r="I29" s="46">
        <v>9093683.9677529745</v>
      </c>
      <c r="J29" s="44">
        <v>26251909.83852398</v>
      </c>
      <c r="K29" s="45">
        <v>6498007.0401158324</v>
      </c>
      <c r="L29" s="46">
        <v>7582564.9953543004</v>
      </c>
      <c r="M29" s="118">
        <f t="shared" si="0"/>
        <v>13203615.342052458</v>
      </c>
      <c r="N29" s="118">
        <f t="shared" si="1"/>
        <v>8986861.6251001116</v>
      </c>
      <c r="O29">
        <f t="shared" si="2"/>
        <v>-0.55504372101995048</v>
      </c>
    </row>
    <row r="30" spans="1:15" x14ac:dyDescent="0.2">
      <c r="A30" s="42" t="s">
        <v>1</v>
      </c>
      <c r="B30" s="42" t="s">
        <v>43</v>
      </c>
      <c r="C30" s="43"/>
      <c r="D30" s="44">
        <v>8276.3461451410367</v>
      </c>
      <c r="E30" s="45">
        <v>10871.167907427292</v>
      </c>
      <c r="F30" s="46">
        <v>7931.6523613548752</v>
      </c>
      <c r="G30" s="44">
        <v>12101.59959224476</v>
      </c>
      <c r="H30" s="45">
        <v>10474.36931353167</v>
      </c>
      <c r="I30" s="46">
        <v>15623.741004721667</v>
      </c>
      <c r="J30" s="44">
        <v>4790.9837989844036</v>
      </c>
      <c r="K30" s="45">
        <v>4836.8194712584063</v>
      </c>
      <c r="L30" s="46">
        <v>5108.9542619006115</v>
      </c>
      <c r="M30" s="118">
        <f t="shared" si="0"/>
        <v>9026.3888046410684</v>
      </c>
      <c r="N30" s="118">
        <f t="shared" si="1"/>
        <v>12733.236636832698</v>
      </c>
      <c r="O30">
        <f t="shared" si="2"/>
        <v>0.49637835375868766</v>
      </c>
    </row>
    <row r="31" spans="1:15" x14ac:dyDescent="0.2">
      <c r="A31" s="47" t="s">
        <v>2</v>
      </c>
      <c r="B31" s="47" t="s">
        <v>43</v>
      </c>
      <c r="C31" s="48"/>
      <c r="D31" s="49">
        <v>1441381.5796712553</v>
      </c>
      <c r="E31" s="50">
        <v>1489666.5649462917</v>
      </c>
      <c r="F31" s="51">
        <v>1462275.7331613253</v>
      </c>
      <c r="G31" s="49">
        <v>1002773.4266909688</v>
      </c>
      <c r="H31" s="50">
        <v>861752.53062853997</v>
      </c>
      <c r="I31" s="51">
        <v>1202375.9115596157</v>
      </c>
      <c r="J31" s="49">
        <v>759238.02543686598</v>
      </c>
      <c r="K31" s="50">
        <v>821169.56199625076</v>
      </c>
      <c r="L31" s="51">
        <v>653160.49038090301</v>
      </c>
      <c r="M31" s="118">
        <f t="shared" si="0"/>
        <v>1464441.2925929576</v>
      </c>
      <c r="N31" s="118">
        <f t="shared" si="1"/>
        <v>1022300.6229597082</v>
      </c>
      <c r="O31">
        <f t="shared" si="2"/>
        <v>-0.51853085378411923</v>
      </c>
    </row>
    <row r="32" spans="1:15" x14ac:dyDescent="0.2">
      <c r="A32" s="52" t="s">
        <v>45</v>
      </c>
      <c r="B32" s="52" t="s">
        <v>46</v>
      </c>
      <c r="C32" s="53"/>
      <c r="D32" s="54">
        <v>640277.32742297952</v>
      </c>
      <c r="E32" s="55">
        <v>695588.61995925405</v>
      </c>
      <c r="F32" s="56">
        <v>618636.33211035398</v>
      </c>
      <c r="G32" s="54">
        <v>432394.34697123402</v>
      </c>
      <c r="H32" s="55">
        <v>402227.71694844752</v>
      </c>
      <c r="I32" s="56">
        <v>463358.96048111131</v>
      </c>
      <c r="J32" s="54">
        <v>316955.21633499645</v>
      </c>
      <c r="K32" s="55">
        <v>502961.60030520725</v>
      </c>
      <c r="L32" s="56">
        <v>491590.74255484261</v>
      </c>
      <c r="M32" s="118">
        <f t="shared" si="0"/>
        <v>651500.75983086252</v>
      </c>
      <c r="N32" s="118">
        <f t="shared" si="1"/>
        <v>432660.34146693099</v>
      </c>
      <c r="O32">
        <f t="shared" si="2"/>
        <v>-0.59053197493978038</v>
      </c>
    </row>
    <row r="33" spans="1:15" x14ac:dyDescent="0.2">
      <c r="A33" s="57" t="s">
        <v>47</v>
      </c>
      <c r="B33" s="57" t="s">
        <v>48</v>
      </c>
      <c r="C33" s="58"/>
      <c r="D33" s="59">
        <v>285.22971330200176</v>
      </c>
      <c r="E33" s="60">
        <v>565.02636789597454</v>
      </c>
      <c r="F33" s="61">
        <v>616.95704374180605</v>
      </c>
      <c r="G33" s="59">
        <v>132.90761072300742</v>
      </c>
      <c r="H33" s="60">
        <v>275.76393587319916</v>
      </c>
      <c r="I33" s="61">
        <v>449.76110661805507</v>
      </c>
      <c r="J33" s="59">
        <v>250.77063147102444</v>
      </c>
      <c r="K33" s="60">
        <v>289.47762692312938</v>
      </c>
      <c r="L33" s="61">
        <v>150.59568072170586</v>
      </c>
      <c r="M33" s="118">
        <f t="shared" si="0"/>
        <v>489.0710416465941</v>
      </c>
      <c r="N33" s="118">
        <f t="shared" si="1"/>
        <v>286.14421773808721</v>
      </c>
      <c r="O33">
        <f t="shared" si="2"/>
        <v>-0.77330158997492859</v>
      </c>
    </row>
    <row r="34" spans="1:15" x14ac:dyDescent="0.2">
      <c r="A34" s="62" t="s">
        <v>49</v>
      </c>
      <c r="B34" s="62" t="s">
        <v>48</v>
      </c>
      <c r="C34" s="63"/>
      <c r="D34" s="64">
        <v>8975.6526880143392</v>
      </c>
      <c r="E34" s="65">
        <v>10055.931570625347</v>
      </c>
      <c r="F34" s="66">
        <v>7412.396176236437</v>
      </c>
      <c r="G34" s="64">
        <v>11450.808832984707</v>
      </c>
      <c r="H34" s="65">
        <v>10203.187631498329</v>
      </c>
      <c r="I34" s="66">
        <v>12785.374831139396</v>
      </c>
      <c r="J34" s="64">
        <v>9662.2057634318262</v>
      </c>
      <c r="K34" s="65">
        <v>8342.4996169660044</v>
      </c>
      <c r="L34" s="66">
        <v>8873.6948429458844</v>
      </c>
      <c r="M34" s="118">
        <f t="shared" si="0"/>
        <v>8814.6601449587088</v>
      </c>
      <c r="N34" s="118">
        <f t="shared" si="1"/>
        <v>11479.790431874144</v>
      </c>
      <c r="O34">
        <f t="shared" si="2"/>
        <v>0.38111945361340532</v>
      </c>
    </row>
    <row r="35" spans="1:15" x14ac:dyDescent="0.2">
      <c r="A35" s="62" t="s">
        <v>50</v>
      </c>
      <c r="B35" s="67" t="s">
        <v>48</v>
      </c>
      <c r="C35" s="68"/>
      <c r="D35" s="69">
        <v>889.75348392095668</v>
      </c>
      <c r="E35" s="70">
        <v>1389.2193555556455</v>
      </c>
      <c r="F35" s="71">
        <v>1062.9264267316148</v>
      </c>
      <c r="G35" s="69">
        <v>1613.8708022258816</v>
      </c>
      <c r="H35" s="70">
        <v>1396.1444986711638</v>
      </c>
      <c r="I35" s="71">
        <v>817.66345964746233</v>
      </c>
      <c r="J35" s="69">
        <v>587.96376316334181</v>
      </c>
      <c r="K35" s="70">
        <v>2067.556167074054</v>
      </c>
      <c r="L35" s="71">
        <v>2009.1735363236169</v>
      </c>
      <c r="M35" s="118">
        <f t="shared" si="0"/>
        <v>1113.9664220694056</v>
      </c>
      <c r="N35" s="118">
        <f t="shared" si="1"/>
        <v>1275.8929201815026</v>
      </c>
      <c r="O35">
        <f t="shared" si="2"/>
        <v>0.19580150878876754</v>
      </c>
    </row>
    <row r="36" spans="1:15" x14ac:dyDescent="0.2">
      <c r="A36" s="72" t="s">
        <v>4</v>
      </c>
      <c r="B36" s="72" t="s">
        <v>51</v>
      </c>
      <c r="C36" s="73"/>
      <c r="D36" s="74">
        <v>5687.4233556884637</v>
      </c>
      <c r="E36" s="75">
        <v>6880.0250132707806</v>
      </c>
      <c r="F36" s="76">
        <v>5652.0549254317884</v>
      </c>
      <c r="G36" s="74">
        <v>9790.5357827233056</v>
      </c>
      <c r="H36" s="75">
        <v>9562.491049923532</v>
      </c>
      <c r="I36" s="76">
        <v>11436.247524156752</v>
      </c>
      <c r="J36" s="74">
        <v>8365.2731779615151</v>
      </c>
      <c r="K36" s="75">
        <v>5467.8211167123554</v>
      </c>
      <c r="L36" s="76">
        <v>6288.934519104082</v>
      </c>
      <c r="M36" s="118">
        <f t="shared" si="0"/>
        <v>6073.1677647970109</v>
      </c>
      <c r="N36" s="118">
        <f t="shared" si="1"/>
        <v>10263.091452267863</v>
      </c>
      <c r="O36">
        <f t="shared" si="2"/>
        <v>0.75694423778515529</v>
      </c>
    </row>
    <row r="37" spans="1:15" x14ac:dyDescent="0.2">
      <c r="A37" s="77" t="s">
        <v>5</v>
      </c>
      <c r="B37" s="77" t="s">
        <v>51</v>
      </c>
      <c r="C37" s="78"/>
      <c r="D37" s="79">
        <v>1054.5093480737696</v>
      </c>
      <c r="E37" s="80">
        <v>2259.9243628349368</v>
      </c>
      <c r="F37" s="81">
        <v>1590.6479367406723</v>
      </c>
      <c r="G37" s="79">
        <v>9669.9084043457588</v>
      </c>
      <c r="H37" s="80">
        <v>8518.9266105388579</v>
      </c>
      <c r="I37" s="81">
        <v>9673.9981333835203</v>
      </c>
      <c r="J37" s="79">
        <v>4126.133915385366</v>
      </c>
      <c r="K37" s="80">
        <v>3285.0261152256298</v>
      </c>
      <c r="L37" s="81">
        <v>3226.5923845444954</v>
      </c>
      <c r="M37" s="118">
        <f t="shared" si="0"/>
        <v>1635.027215883126</v>
      </c>
      <c r="N37" s="118">
        <f t="shared" si="1"/>
        <v>9287.6110494227123</v>
      </c>
      <c r="O37">
        <f t="shared" si="2"/>
        <v>2.5059929053272985</v>
      </c>
    </row>
    <row r="38" spans="1:15" x14ac:dyDescent="0.2">
      <c r="A38" s="82" t="s">
        <v>6</v>
      </c>
      <c r="B38" s="82" t="s">
        <v>51</v>
      </c>
      <c r="C38" s="83"/>
      <c r="D38" s="84">
        <v>572.59762931888542</v>
      </c>
      <c r="E38" s="85">
        <v>925.54802935113366</v>
      </c>
      <c r="F38" s="86">
        <v>565.12366602841894</v>
      </c>
      <c r="G38" s="84">
        <v>2220.8959213976009</v>
      </c>
      <c r="H38" s="85">
        <v>1313.8296706500423</v>
      </c>
      <c r="I38" s="86">
        <v>2445.6097700203786</v>
      </c>
      <c r="J38" s="84">
        <v>1681.6192989542492</v>
      </c>
      <c r="K38" s="85">
        <v>1697.7237942638039</v>
      </c>
      <c r="L38" s="86">
        <v>985.84643973680295</v>
      </c>
      <c r="M38" s="118">
        <f t="shared" si="0"/>
        <v>687.75644156614601</v>
      </c>
      <c r="N38" s="118">
        <f t="shared" si="1"/>
        <v>1993.4451206893407</v>
      </c>
      <c r="O38">
        <f t="shared" si="2"/>
        <v>1.5352942365748365</v>
      </c>
    </row>
    <row r="39" spans="1:15" x14ac:dyDescent="0.2">
      <c r="A39" s="87" t="s">
        <v>52</v>
      </c>
      <c r="B39" s="87" t="s">
        <v>53</v>
      </c>
      <c r="C39" s="88"/>
      <c r="D39" s="89">
        <v>401205.77959072479</v>
      </c>
      <c r="E39" s="90">
        <v>468633.72239048453</v>
      </c>
      <c r="F39" s="91">
        <v>361065.32837710343</v>
      </c>
      <c r="G39" s="89">
        <v>557212.25973930163</v>
      </c>
      <c r="H39" s="90">
        <v>471294.37166567449</v>
      </c>
      <c r="I39" s="91">
        <v>626766.65009754419</v>
      </c>
      <c r="J39" s="89">
        <v>425562.86123438127</v>
      </c>
      <c r="K39" s="90">
        <v>370180.29091290967</v>
      </c>
      <c r="L39" s="91">
        <v>364586.43890034885</v>
      </c>
      <c r="M39" s="118">
        <f t="shared" si="0"/>
        <v>410301.61011943757</v>
      </c>
      <c r="N39" s="118">
        <f t="shared" si="1"/>
        <v>551757.76050084003</v>
      </c>
      <c r="O39">
        <f t="shared" si="2"/>
        <v>0.42735020051222627</v>
      </c>
    </row>
    <row r="40" spans="1:15" x14ac:dyDescent="0.2">
      <c r="A40" s="92" t="s">
        <v>54</v>
      </c>
      <c r="B40" s="92" t="s">
        <v>53</v>
      </c>
      <c r="C40" s="93"/>
      <c r="D40" s="94">
        <v>1044384.631775641</v>
      </c>
      <c r="E40" s="95">
        <v>1242451.0151667842</v>
      </c>
      <c r="F40" s="96">
        <v>938137.3020907687</v>
      </c>
      <c r="G40" s="94">
        <v>1009867.8000162579</v>
      </c>
      <c r="H40" s="95">
        <v>1020404.0418186357</v>
      </c>
      <c r="I40" s="96">
        <v>1275617.8222333041</v>
      </c>
      <c r="J40" s="94">
        <v>971438.03066186793</v>
      </c>
      <c r="K40" s="95">
        <v>972776.41380668397</v>
      </c>
      <c r="L40" s="96">
        <v>981954.67716762715</v>
      </c>
      <c r="M40" s="118">
        <f t="shared" si="0"/>
        <v>1074990.9830110646</v>
      </c>
      <c r="N40" s="118">
        <f t="shared" si="1"/>
        <v>1101963.2213560659</v>
      </c>
      <c r="O40">
        <f t="shared" si="2"/>
        <v>3.5751515364991125E-2</v>
      </c>
    </row>
    <row r="41" spans="1:15" x14ac:dyDescent="0.2">
      <c r="A41" s="92" t="s">
        <v>55</v>
      </c>
      <c r="B41" s="92" t="s">
        <v>53</v>
      </c>
      <c r="C41" s="93"/>
      <c r="D41" s="94">
        <v>1277258.1828237781</v>
      </c>
      <c r="E41" s="95">
        <v>1368883.6090718152</v>
      </c>
      <c r="F41" s="96">
        <v>1054423.2979911766</v>
      </c>
      <c r="G41" s="94">
        <v>1648184.2643785968</v>
      </c>
      <c r="H41" s="95">
        <v>1467484.4972636311</v>
      </c>
      <c r="I41" s="96">
        <v>1620377.6699377536</v>
      </c>
      <c r="J41" s="94">
        <v>1172251.1615271105</v>
      </c>
      <c r="K41" s="95">
        <v>971810.99429528788</v>
      </c>
      <c r="L41" s="96">
        <v>1156570.3689644451</v>
      </c>
      <c r="M41" s="118">
        <f t="shared" si="0"/>
        <v>1233521.6966289233</v>
      </c>
      <c r="N41" s="118">
        <f t="shared" si="1"/>
        <v>1578682.1438599937</v>
      </c>
      <c r="O41">
        <f t="shared" si="2"/>
        <v>0.35593763263191136</v>
      </c>
    </row>
    <row r="42" spans="1:15" x14ac:dyDescent="0.2">
      <c r="A42" s="97" t="s">
        <v>56</v>
      </c>
      <c r="B42" s="97" t="s">
        <v>53</v>
      </c>
      <c r="C42" s="98"/>
      <c r="D42" s="99">
        <v>399020.91182575241</v>
      </c>
      <c r="E42" s="100">
        <v>287988.97404397029</v>
      </c>
      <c r="F42" s="101">
        <v>358696.7334482178</v>
      </c>
      <c r="G42" s="99">
        <v>221543.75273964295</v>
      </c>
      <c r="H42" s="100">
        <v>203286.84611563294</v>
      </c>
      <c r="I42" s="101">
        <v>218551.87917474235</v>
      </c>
      <c r="J42" s="99">
        <v>400457.38479774387</v>
      </c>
      <c r="K42" s="100">
        <v>130343.90632040388</v>
      </c>
      <c r="L42" s="101">
        <v>158033.020884061</v>
      </c>
      <c r="M42" s="118">
        <f t="shared" si="0"/>
        <v>348568.87310598016</v>
      </c>
      <c r="N42" s="118">
        <f t="shared" si="1"/>
        <v>214460.8260100061</v>
      </c>
      <c r="O42">
        <f t="shared" si="2"/>
        <v>-0.70072959857389816</v>
      </c>
    </row>
    <row r="43" spans="1:15" x14ac:dyDescent="0.2">
      <c r="A43" s="102" t="s">
        <v>57</v>
      </c>
      <c r="B43" s="102" t="s">
        <v>58</v>
      </c>
      <c r="C43" s="103"/>
      <c r="D43" s="104">
        <v>85566.286123141777</v>
      </c>
      <c r="E43" s="105">
        <v>101958.77593834129</v>
      </c>
      <c r="F43" s="106">
        <v>78143.146269439356</v>
      </c>
      <c r="G43" s="104">
        <v>96667.075417795233</v>
      </c>
      <c r="H43" s="105">
        <v>93185.698784468492</v>
      </c>
      <c r="I43" s="106">
        <v>109015.33808697865</v>
      </c>
      <c r="J43" s="104">
        <v>85054.77545791975</v>
      </c>
      <c r="K43" s="105">
        <v>77797.083171572245</v>
      </c>
      <c r="L43" s="106">
        <v>75553.440772920323</v>
      </c>
      <c r="M43" s="118">
        <f t="shared" si="0"/>
        <v>88556.069443640808</v>
      </c>
      <c r="N43" s="118">
        <f t="shared" si="1"/>
        <v>99622.704096414134</v>
      </c>
      <c r="O43">
        <f t="shared" si="2"/>
        <v>0.16988338155542604</v>
      </c>
    </row>
    <row r="44" spans="1:15" x14ac:dyDescent="0.2">
      <c r="A44" s="102" t="s">
        <v>59</v>
      </c>
      <c r="B44" s="102" t="s">
        <v>58</v>
      </c>
      <c r="C44" s="103"/>
      <c r="D44" s="104">
        <v>204636.54392835469</v>
      </c>
      <c r="E44" s="105">
        <v>185973.08299197929</v>
      </c>
      <c r="F44" s="106">
        <v>173829.42122186933</v>
      </c>
      <c r="G44" s="104">
        <v>105773.49864121</v>
      </c>
      <c r="H44" s="105">
        <v>103065.58403387414</v>
      </c>
      <c r="I44" s="106">
        <v>134120.18531093191</v>
      </c>
      <c r="J44" s="104">
        <v>77506.422017515913</v>
      </c>
      <c r="K44" s="105">
        <v>86598.975935180191</v>
      </c>
      <c r="L44" s="106">
        <v>84363.784471964842</v>
      </c>
      <c r="M44" s="118">
        <f t="shared" si="0"/>
        <v>188146.34938073441</v>
      </c>
      <c r="N44" s="118">
        <f t="shared" si="1"/>
        <v>114319.75599533867</v>
      </c>
      <c r="O44">
        <f t="shared" si="2"/>
        <v>-0.71878055469138014</v>
      </c>
    </row>
    <row r="45" spans="1:15" x14ac:dyDescent="0.2">
      <c r="A45" s="102" t="s">
        <v>60</v>
      </c>
      <c r="B45" s="102" t="s">
        <v>58</v>
      </c>
      <c r="C45" s="103"/>
      <c r="D45" s="104">
        <v>4898.9978294315315</v>
      </c>
      <c r="E45" s="105">
        <v>5036.6013797517853</v>
      </c>
      <c r="F45" s="106">
        <v>3729.6376652099066</v>
      </c>
      <c r="G45" s="104">
        <v>195.40650416373001</v>
      </c>
      <c r="H45" s="105">
        <v>169.0364193095113</v>
      </c>
      <c r="I45" s="106" t="e">
        <v>#VALUE!</v>
      </c>
      <c r="J45" s="104" t="e">
        <v>#VALUE!</v>
      </c>
      <c r="K45" s="105">
        <v>5566.1156281836429</v>
      </c>
      <c r="L45" s="106">
        <v>6188.817837506971</v>
      </c>
      <c r="M45" s="118">
        <f t="shared" si="0"/>
        <v>4555.0789581310746</v>
      </c>
      <c r="N45" s="118" t="e">
        <f t="shared" si="1"/>
        <v>#VALUE!</v>
      </c>
      <c r="O45" t="e">
        <f t="shared" si="2"/>
        <v>#VALUE!</v>
      </c>
    </row>
    <row r="46" spans="1:15" x14ac:dyDescent="0.2">
      <c r="A46" s="102" t="s">
        <v>61</v>
      </c>
      <c r="B46" s="102" t="s">
        <v>58</v>
      </c>
      <c r="C46" s="103"/>
      <c r="D46" s="104">
        <v>7696322.7336592628</v>
      </c>
      <c r="E46" s="105">
        <v>8794417.0814717542</v>
      </c>
      <c r="F46" s="106">
        <v>6582286.2686868366</v>
      </c>
      <c r="G46" s="104">
        <v>6943196.2990289237</v>
      </c>
      <c r="H46" s="105">
        <v>6161338.261688713</v>
      </c>
      <c r="I46" s="106">
        <v>7451055.5260609137</v>
      </c>
      <c r="J46" s="104">
        <v>5392133.4301112136</v>
      </c>
      <c r="K46" s="105">
        <v>6552756.6107150344</v>
      </c>
      <c r="L46" s="106">
        <v>6822672.0120983506</v>
      </c>
      <c r="M46" s="118">
        <f t="shared" si="0"/>
        <v>7691008.6946059512</v>
      </c>
      <c r="N46" s="118">
        <f t="shared" si="1"/>
        <v>6851863.3622595174</v>
      </c>
      <c r="O46">
        <f t="shared" si="2"/>
        <v>-0.16667644164978851</v>
      </c>
    </row>
    <row r="47" spans="1:15" x14ac:dyDescent="0.2">
      <c r="A47" s="102" t="s">
        <v>62</v>
      </c>
      <c r="B47" s="102" t="s">
        <v>58</v>
      </c>
      <c r="C47" s="103"/>
      <c r="D47" s="104">
        <v>4542.1138419437902</v>
      </c>
      <c r="E47" s="105">
        <v>6067.9663117915206</v>
      </c>
      <c r="F47" s="106">
        <v>7274.4961825437313</v>
      </c>
      <c r="G47" s="104">
        <v>6445.3676624602313</v>
      </c>
      <c r="H47" s="105">
        <v>9189.4565894540119</v>
      </c>
      <c r="I47" s="106">
        <v>8289.0958748618414</v>
      </c>
      <c r="J47" s="104">
        <v>9782.5630116263546</v>
      </c>
      <c r="K47" s="105">
        <v>8837.8013587950445</v>
      </c>
      <c r="L47" s="106">
        <v>7820.9721425355146</v>
      </c>
      <c r="M47" s="118">
        <f t="shared" si="0"/>
        <v>5961.5254454263477</v>
      </c>
      <c r="N47" s="118">
        <f t="shared" si="1"/>
        <v>7974.6400422586958</v>
      </c>
      <c r="O47">
        <f t="shared" si="2"/>
        <v>0.41973786303617561</v>
      </c>
    </row>
    <row r="48" spans="1:15" x14ac:dyDescent="0.2">
      <c r="A48" s="102" t="s">
        <v>63</v>
      </c>
      <c r="B48" s="102" t="s">
        <v>58</v>
      </c>
      <c r="C48" s="103"/>
      <c r="D48" s="104">
        <v>121568.23352957143</v>
      </c>
      <c r="E48" s="105">
        <v>141954.86498782999</v>
      </c>
      <c r="F48" s="106">
        <v>96281.287612667977</v>
      </c>
      <c r="G48" s="104">
        <v>128944.92234765833</v>
      </c>
      <c r="H48" s="105">
        <v>117313.30289186189</v>
      </c>
      <c r="I48" s="106">
        <v>125669.44810018301</v>
      </c>
      <c r="J48" s="104">
        <v>77061.92578152199</v>
      </c>
      <c r="K48" s="105">
        <v>101880.64082094321</v>
      </c>
      <c r="L48" s="106">
        <v>105646.74849604274</v>
      </c>
      <c r="M48" s="118">
        <f t="shared" si="0"/>
        <v>119934.7953766898</v>
      </c>
      <c r="N48" s="118">
        <f t="shared" si="1"/>
        <v>123975.89111323441</v>
      </c>
      <c r="O48">
        <f t="shared" si="2"/>
        <v>4.7809322296701637E-2</v>
      </c>
    </row>
    <row r="49" spans="1:15" x14ac:dyDescent="0.2">
      <c r="A49" s="102" t="s">
        <v>64</v>
      </c>
      <c r="B49" s="102" t="s">
        <v>58</v>
      </c>
      <c r="C49" s="103"/>
      <c r="D49" s="104">
        <v>3185.2528366908346</v>
      </c>
      <c r="E49" s="105">
        <v>4474.044676614375</v>
      </c>
      <c r="F49" s="106">
        <v>3070.3093643705902</v>
      </c>
      <c r="G49" s="104">
        <v>6289.9616811995511</v>
      </c>
      <c r="H49" s="105">
        <v>4564.4317972645367</v>
      </c>
      <c r="I49" s="106">
        <v>5223.5509583631201</v>
      </c>
      <c r="J49" s="104">
        <v>2200.2145617656442</v>
      </c>
      <c r="K49" s="105">
        <v>5927.2069973496027</v>
      </c>
      <c r="L49" s="106">
        <v>6071.2522485457912</v>
      </c>
      <c r="M49" s="118">
        <f t="shared" si="0"/>
        <v>3576.5356258919333</v>
      </c>
      <c r="N49" s="118">
        <f t="shared" si="1"/>
        <v>5359.3148122757366</v>
      </c>
      <c r="O49">
        <f t="shared" si="2"/>
        <v>0.5834857518027845</v>
      </c>
    </row>
    <row r="50" spans="1:15" x14ac:dyDescent="0.2">
      <c r="A50" s="102" t="s">
        <v>65</v>
      </c>
      <c r="B50" s="102" t="s">
        <v>58</v>
      </c>
      <c r="C50" s="103"/>
      <c r="D50" s="104">
        <v>233.57008282412846</v>
      </c>
      <c r="E50" s="105">
        <v>1348.7497823786448</v>
      </c>
      <c r="F50" s="106">
        <v>529.31340765984169</v>
      </c>
      <c r="G50" s="104">
        <v>1495.1926670777727</v>
      </c>
      <c r="H50" s="105">
        <v>1397.265688440491</v>
      </c>
      <c r="I50" s="106">
        <v>1382.0220208935775</v>
      </c>
      <c r="J50" s="104">
        <v>1041.0924566883027</v>
      </c>
      <c r="K50" s="105">
        <v>1356.7737901036401</v>
      </c>
      <c r="L50" s="106">
        <v>1169.2450567229741</v>
      </c>
      <c r="M50" s="118">
        <f t="shared" si="0"/>
        <v>703.87775762087165</v>
      </c>
      <c r="N50" s="118">
        <f t="shared" si="1"/>
        <v>1424.8267921372801</v>
      </c>
      <c r="O50">
        <f t="shared" si="2"/>
        <v>1.0173897469079511</v>
      </c>
    </row>
    <row r="51" spans="1:15" x14ac:dyDescent="0.2">
      <c r="A51" s="102" t="s">
        <v>66</v>
      </c>
      <c r="B51" s="102" t="s">
        <v>58</v>
      </c>
      <c r="C51" s="103"/>
      <c r="D51" s="104" t="e">
        <v>#VALUE!</v>
      </c>
      <c r="E51" s="105" t="e">
        <v>#VALUE!</v>
      </c>
      <c r="F51" s="106" t="e">
        <v>#VALUE!</v>
      </c>
      <c r="G51" s="104" t="e">
        <v>#VALUE!</v>
      </c>
      <c r="H51" s="105" t="e">
        <v>#VALUE!</v>
      </c>
      <c r="I51" s="106" t="e">
        <v>#VALUE!</v>
      </c>
      <c r="J51" s="104" t="e">
        <v>#VALUE!</v>
      </c>
      <c r="K51" s="105" t="e">
        <v>#VALUE!</v>
      </c>
      <c r="L51" s="106" t="e">
        <v>#VALUE!</v>
      </c>
      <c r="M51" s="118" t="e">
        <f t="shared" si="0"/>
        <v>#VALUE!</v>
      </c>
      <c r="N51" s="118" t="e">
        <f t="shared" si="1"/>
        <v>#VALUE!</v>
      </c>
      <c r="O51" t="e">
        <f t="shared" si="2"/>
        <v>#VALUE!</v>
      </c>
    </row>
    <row r="52" spans="1:15" x14ac:dyDescent="0.2">
      <c r="A52" s="102" t="s">
        <v>67</v>
      </c>
      <c r="B52" s="102" t="s">
        <v>58</v>
      </c>
      <c r="C52" s="103"/>
      <c r="D52" s="104">
        <v>697199.53180260491</v>
      </c>
      <c r="E52" s="105">
        <v>825801.03577726707</v>
      </c>
      <c r="F52" s="106">
        <v>749556.9852980288</v>
      </c>
      <c r="G52" s="104">
        <v>482913.72500092402</v>
      </c>
      <c r="H52" s="105">
        <v>430336.4221898152</v>
      </c>
      <c r="I52" s="106">
        <v>676293.57221471926</v>
      </c>
      <c r="J52" s="104">
        <v>269111.39480047702</v>
      </c>
      <c r="K52" s="105">
        <v>480743.39317834098</v>
      </c>
      <c r="L52" s="106">
        <v>430096.29195977817</v>
      </c>
      <c r="M52" s="118">
        <f t="shared" si="0"/>
        <v>757519.18429263355</v>
      </c>
      <c r="N52" s="118">
        <f t="shared" si="1"/>
        <v>529847.90646848606</v>
      </c>
      <c r="O52">
        <f t="shared" si="2"/>
        <v>-0.51570413391510972</v>
      </c>
    </row>
    <row r="53" spans="1:15" x14ac:dyDescent="0.2">
      <c r="A53" s="107" t="s">
        <v>68</v>
      </c>
      <c r="B53" s="107" t="s">
        <v>69</v>
      </c>
      <c r="C53" s="108"/>
      <c r="D53" s="109">
        <v>110173.35953017038</v>
      </c>
      <c r="E53" s="110">
        <v>75169.79544038343</v>
      </c>
      <c r="F53" s="111">
        <v>72403.194789607252</v>
      </c>
      <c r="G53" s="109">
        <v>47243.45933994645</v>
      </c>
      <c r="H53" s="110">
        <v>53376.305857784144</v>
      </c>
      <c r="I53" s="111">
        <v>70498.472331932207</v>
      </c>
      <c r="J53" s="109">
        <v>1368204.5728385949</v>
      </c>
      <c r="K53" s="110">
        <v>41138.672630296205</v>
      </c>
      <c r="L53" s="111">
        <v>43457.420825362227</v>
      </c>
      <c r="M53" s="118">
        <f t="shared" si="0"/>
        <v>85915.449920053696</v>
      </c>
      <c r="N53" s="118">
        <f t="shared" si="1"/>
        <v>57039.412509887596</v>
      </c>
      <c r="O53">
        <f t="shared" si="2"/>
        <v>-0.59095846775545136</v>
      </c>
    </row>
    <row r="54" spans="1:15" x14ac:dyDescent="0.2">
      <c r="A54" s="112" t="s">
        <v>70</v>
      </c>
      <c r="B54" s="112" t="s">
        <v>69</v>
      </c>
      <c r="C54" s="113"/>
      <c r="D54" s="114">
        <v>57512.136140877126</v>
      </c>
      <c r="E54" s="115">
        <v>56748.10500216698</v>
      </c>
      <c r="F54" s="116">
        <v>62115.816578506274</v>
      </c>
      <c r="G54" s="114">
        <v>34733.718992982009</v>
      </c>
      <c r="H54" s="115">
        <v>36680.38626792244</v>
      </c>
      <c r="I54" s="116">
        <v>49562.973091486827</v>
      </c>
      <c r="J54" s="114">
        <v>33347.364226851627</v>
      </c>
      <c r="K54" s="115">
        <v>36590.051969135166</v>
      </c>
      <c r="L54" s="116">
        <v>32755.24202345921</v>
      </c>
      <c r="M54" s="118">
        <f t="shared" si="0"/>
        <v>58792.019240516798</v>
      </c>
      <c r="N54" s="118">
        <f t="shared" si="1"/>
        <v>40325.69278413042</v>
      </c>
      <c r="O54">
        <f t="shared" si="2"/>
        <v>-0.54392101011911853</v>
      </c>
    </row>
    <row r="55" spans="1:15" x14ac:dyDescent="0.2">
      <c r="A55" s="112" t="s">
        <v>71</v>
      </c>
      <c r="B55" s="112" t="s">
        <v>69</v>
      </c>
      <c r="C55" s="113"/>
      <c r="D55" s="114">
        <v>2861.6986961022462</v>
      </c>
      <c r="E55" s="115">
        <v>2660.4381289471075</v>
      </c>
      <c r="F55" s="116">
        <v>2263.9908879261457</v>
      </c>
      <c r="G55" s="114">
        <v>1935.7831919801483</v>
      </c>
      <c r="H55" s="115">
        <v>1922.2944837257489</v>
      </c>
      <c r="I55" s="116">
        <v>2544.833956308451</v>
      </c>
      <c r="J55" s="114">
        <v>2470.6003061605984</v>
      </c>
      <c r="K55" s="115">
        <v>2137.9128905051953</v>
      </c>
      <c r="L55" s="116">
        <v>2109.1892599224793</v>
      </c>
      <c r="M55" s="118">
        <f t="shared" si="0"/>
        <v>2595.3759043251666</v>
      </c>
      <c r="N55" s="118">
        <f t="shared" si="1"/>
        <v>2134.3038773381163</v>
      </c>
      <c r="O55">
        <f t="shared" si="2"/>
        <v>-0.28217790972233137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CFB6-AD3D-6A45-A96B-8368F65C42BB}">
  <dimension ref="A1:O55"/>
  <sheetViews>
    <sheetView workbookViewId="0">
      <selection activeCell="F37" sqref="F37"/>
    </sheetView>
  </sheetViews>
  <sheetFormatPr baseColWidth="10" defaultRowHeight="16" x14ac:dyDescent="0.2"/>
  <sheetData>
    <row r="1" spans="1:15" x14ac:dyDescent="0.2">
      <c r="A1" s="1"/>
      <c r="B1" s="1"/>
      <c r="C1" s="2" t="s">
        <v>7</v>
      </c>
      <c r="D1" s="3">
        <v>124</v>
      </c>
      <c r="E1" s="4">
        <v>122</v>
      </c>
      <c r="F1" s="5">
        <v>123</v>
      </c>
      <c r="G1" s="3">
        <v>126</v>
      </c>
      <c r="H1" s="4">
        <v>125</v>
      </c>
      <c r="I1" s="5">
        <v>127</v>
      </c>
      <c r="J1" s="3">
        <v>130</v>
      </c>
      <c r="K1" s="4">
        <v>129</v>
      </c>
      <c r="L1" s="5">
        <v>128</v>
      </c>
    </row>
    <row r="2" spans="1:15" x14ac:dyDescent="0.2">
      <c r="A2" s="6"/>
      <c r="B2" s="6"/>
      <c r="C2" s="7" t="s">
        <v>8</v>
      </c>
      <c r="D2" s="8">
        <v>190.97598752615804</v>
      </c>
      <c r="E2" s="9">
        <v>214.66963488338664</v>
      </c>
      <c r="F2" s="10">
        <v>224.69594507028805</v>
      </c>
      <c r="G2" s="8">
        <v>268.52463137462451</v>
      </c>
      <c r="H2" s="9">
        <v>272.57384287753229</v>
      </c>
      <c r="I2" s="10">
        <v>274.20972742507121</v>
      </c>
      <c r="J2" s="8">
        <v>232.56998247642963</v>
      </c>
      <c r="K2" s="9">
        <v>164.048055607674</v>
      </c>
      <c r="L2" s="10">
        <v>199.98482404870066</v>
      </c>
    </row>
    <row r="3" spans="1:15" x14ac:dyDescent="0.2">
      <c r="A3" s="11" t="s">
        <v>9</v>
      </c>
      <c r="B3" s="11" t="s">
        <v>10</v>
      </c>
      <c r="C3" s="11" t="s">
        <v>11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  <c r="I3" s="11" t="s">
        <v>80</v>
      </c>
      <c r="J3" s="11" t="s">
        <v>78</v>
      </c>
      <c r="K3" s="11" t="s">
        <v>79</v>
      </c>
      <c r="L3" s="11" t="s">
        <v>80</v>
      </c>
      <c r="M3" s="117" t="s">
        <v>72</v>
      </c>
      <c r="N3" s="117" t="s">
        <v>73</v>
      </c>
      <c r="O3" s="117" t="s">
        <v>81</v>
      </c>
    </row>
    <row r="4" spans="1:15" x14ac:dyDescent="0.2">
      <c r="A4" s="12" t="s">
        <v>18</v>
      </c>
      <c r="B4" s="12" t="s">
        <v>19</v>
      </c>
      <c r="C4" s="13"/>
      <c r="D4" s="14">
        <v>1220541.7812963163</v>
      </c>
      <c r="E4" s="119">
        <v>1231348.7752638687</v>
      </c>
      <c r="F4" s="16">
        <v>1059148.1387238854</v>
      </c>
      <c r="G4" s="14">
        <v>3887.0326146871134</v>
      </c>
      <c r="H4" s="15">
        <v>1129569.0105463851</v>
      </c>
      <c r="I4" s="16">
        <v>1068982.5767763748</v>
      </c>
      <c r="J4" s="14">
        <v>974297.82892538409</v>
      </c>
      <c r="K4" s="15">
        <v>1679596.0670143461</v>
      </c>
      <c r="L4" s="16">
        <v>1092272.8013941979</v>
      </c>
      <c r="M4" s="118">
        <f>AVERAGE(D4:F4)</f>
        <v>1170346.2317613568</v>
      </c>
      <c r="N4" s="118">
        <f>AVERAGE(G4:I4)</f>
        <v>734146.20664581563</v>
      </c>
      <c r="O4">
        <f>LOG(N4/M4,2)</f>
        <v>-0.67279608325945106</v>
      </c>
    </row>
    <row r="5" spans="1:15" x14ac:dyDescent="0.2">
      <c r="A5" s="12" t="s">
        <v>20</v>
      </c>
      <c r="B5" s="12" t="s">
        <v>19</v>
      </c>
      <c r="C5" s="13"/>
      <c r="D5" s="14">
        <v>1508016.7026786718</v>
      </c>
      <c r="E5" s="119">
        <v>1671645.5179836506</v>
      </c>
      <c r="F5" s="16">
        <v>1365352.6186421923</v>
      </c>
      <c r="G5" s="14">
        <v>3605.1590315728581</v>
      </c>
      <c r="H5" s="15">
        <v>1332048.9932819158</v>
      </c>
      <c r="I5" s="16">
        <v>1416974.3015632886</v>
      </c>
      <c r="J5" s="14">
        <v>1117497.1216517154</v>
      </c>
      <c r="K5" s="15">
        <v>2304613.837692535</v>
      </c>
      <c r="L5" s="16">
        <v>1358539.860673819</v>
      </c>
      <c r="M5" s="118">
        <f t="shared" ref="M5:M55" si="0">AVERAGE(D5:F5)</f>
        <v>1515004.946434838</v>
      </c>
      <c r="N5" s="118">
        <f t="shared" ref="N5:N54" si="1">AVERAGE(G5:I5)</f>
        <v>917542.81795892573</v>
      </c>
      <c r="O5">
        <f t="shared" ref="O5:O55" si="2">LOG(N5/M5,2)</f>
        <v>-0.7234751147535442</v>
      </c>
    </row>
    <row r="6" spans="1:15" x14ac:dyDescent="0.2">
      <c r="A6" s="12" t="s">
        <v>21</v>
      </c>
      <c r="B6" s="12" t="s">
        <v>19</v>
      </c>
      <c r="C6" s="13"/>
      <c r="D6" s="14">
        <v>1130574.3920838551</v>
      </c>
      <c r="E6" s="119">
        <v>1074772.3036158925</v>
      </c>
      <c r="F6" s="16">
        <v>948443.49742642557</v>
      </c>
      <c r="G6" s="14">
        <v>3169.798597777482</v>
      </c>
      <c r="H6" s="15">
        <v>677657.85979321285</v>
      </c>
      <c r="I6" s="16">
        <v>733753.66326119588</v>
      </c>
      <c r="J6" s="14">
        <v>892774.70716171653</v>
      </c>
      <c r="K6" s="15">
        <v>1387917.3950376839</v>
      </c>
      <c r="L6" s="16">
        <v>987568.55146120873</v>
      </c>
      <c r="M6" s="118">
        <f t="shared" si="0"/>
        <v>1051263.3977087245</v>
      </c>
      <c r="N6" s="118">
        <f t="shared" si="1"/>
        <v>471527.10721739539</v>
      </c>
      <c r="O6">
        <f t="shared" si="2"/>
        <v>-1.1567115706083289</v>
      </c>
    </row>
    <row r="7" spans="1:15" x14ac:dyDescent="0.2">
      <c r="A7" s="12" t="s">
        <v>22</v>
      </c>
      <c r="B7" s="12" t="s">
        <v>19</v>
      </c>
      <c r="C7" s="13"/>
      <c r="D7" s="14">
        <v>435141.49122343224</v>
      </c>
      <c r="E7" s="119">
        <v>419404.33284338581</v>
      </c>
      <c r="F7" s="16">
        <v>381452.38879672909</v>
      </c>
      <c r="G7" s="14">
        <v>4655.0850609160361</v>
      </c>
      <c r="H7" s="15">
        <v>407370.52692869632</v>
      </c>
      <c r="I7" s="16">
        <v>382183.5679722068</v>
      </c>
      <c r="J7" s="14">
        <v>348944.76551041903</v>
      </c>
      <c r="K7" s="15">
        <v>567885.34710095066</v>
      </c>
      <c r="L7" s="16">
        <v>384717.18724648835</v>
      </c>
      <c r="M7" s="118">
        <f t="shared" si="0"/>
        <v>411999.40428784903</v>
      </c>
      <c r="N7" s="118">
        <f t="shared" si="1"/>
        <v>264736.39332060638</v>
      </c>
      <c r="O7">
        <f t="shared" si="2"/>
        <v>-0.63808571560867411</v>
      </c>
    </row>
    <row r="8" spans="1:15" x14ac:dyDescent="0.2">
      <c r="A8" s="12" t="s">
        <v>23</v>
      </c>
      <c r="B8" s="12" t="s">
        <v>19</v>
      </c>
      <c r="C8" s="13"/>
      <c r="D8" s="14">
        <v>8188274.2079593167</v>
      </c>
      <c r="E8" s="119">
        <v>7793692.4051175136</v>
      </c>
      <c r="F8" s="16">
        <v>7033980.7445372241</v>
      </c>
      <c r="G8" s="14">
        <v>26986.630473724203</v>
      </c>
      <c r="H8" s="15">
        <v>7469267.7753189402</v>
      </c>
      <c r="I8" s="16">
        <v>7353879.6378075881</v>
      </c>
      <c r="J8" s="14">
        <v>6385087.5430602869</v>
      </c>
      <c r="K8" s="15">
        <v>10278498.692069367</v>
      </c>
      <c r="L8" s="16">
        <v>7250740.244404166</v>
      </c>
      <c r="M8" s="118">
        <f t="shared" si="0"/>
        <v>7671982.4525380181</v>
      </c>
      <c r="N8" s="118">
        <f t="shared" si="1"/>
        <v>4950044.6812000843</v>
      </c>
      <c r="O8">
        <f t="shared" si="2"/>
        <v>-0.63215787298064496</v>
      </c>
    </row>
    <row r="9" spans="1:15" x14ac:dyDescent="0.2">
      <c r="A9" s="12" t="s">
        <v>24</v>
      </c>
      <c r="B9" s="12" t="s">
        <v>19</v>
      </c>
      <c r="C9" s="13"/>
      <c r="D9" s="14">
        <v>2857642.3511110246</v>
      </c>
      <c r="E9" s="119">
        <v>2858838.7749081459</v>
      </c>
      <c r="F9" s="16">
        <v>2286158.1006248705</v>
      </c>
      <c r="G9" s="14">
        <v>5977.9879103920985</v>
      </c>
      <c r="H9" s="15">
        <v>3037345.3272696338</v>
      </c>
      <c r="I9" s="16">
        <v>2490488.2493149675</v>
      </c>
      <c r="J9" s="14">
        <v>2201227.9940378107</v>
      </c>
      <c r="K9" s="15">
        <v>4250143.6266178116</v>
      </c>
      <c r="L9" s="16">
        <v>2456127.140329333</v>
      </c>
      <c r="M9" s="118">
        <f t="shared" si="0"/>
        <v>2667546.4088813472</v>
      </c>
      <c r="N9" s="118">
        <f t="shared" si="1"/>
        <v>1844603.8548316646</v>
      </c>
      <c r="O9">
        <f t="shared" si="2"/>
        <v>-0.53220235279333306</v>
      </c>
    </row>
    <row r="10" spans="1:15" x14ac:dyDescent="0.2">
      <c r="A10" s="12" t="s">
        <v>25</v>
      </c>
      <c r="B10" s="12" t="s">
        <v>19</v>
      </c>
      <c r="C10" s="13"/>
      <c r="D10" s="14">
        <v>46535.735278147033</v>
      </c>
      <c r="E10" s="119">
        <v>49790.29756959439</v>
      </c>
      <c r="F10" s="16">
        <v>49703.126580706492</v>
      </c>
      <c r="G10" s="14">
        <v>477.16665448556813</v>
      </c>
      <c r="H10" s="15">
        <v>40544.158175021039</v>
      </c>
      <c r="I10" s="16">
        <v>44503.647316212024</v>
      </c>
      <c r="J10" s="14">
        <v>34642.333951315202</v>
      </c>
      <c r="K10" s="15">
        <v>73894.652119442326</v>
      </c>
      <c r="L10" s="16">
        <v>84294.001208285816</v>
      </c>
      <c r="M10" s="118">
        <f t="shared" si="0"/>
        <v>48676.386476149295</v>
      </c>
      <c r="N10" s="118">
        <f t="shared" si="1"/>
        <v>28508.324048572878</v>
      </c>
      <c r="O10">
        <f t="shared" si="2"/>
        <v>-0.77183884419644222</v>
      </c>
    </row>
    <row r="11" spans="1:15" x14ac:dyDescent="0.2">
      <c r="A11" s="12" t="s">
        <v>26</v>
      </c>
      <c r="B11" s="12" t="s">
        <v>19</v>
      </c>
      <c r="C11" s="13"/>
      <c r="D11" s="14">
        <v>398576.08271078602</v>
      </c>
      <c r="E11" s="119">
        <v>472361.83661971428</v>
      </c>
      <c r="F11" s="16">
        <v>390571.19153862575</v>
      </c>
      <c r="G11" s="14" t="e">
        <v>#VALUE!</v>
      </c>
      <c r="H11" s="15">
        <v>366550.44719346234</v>
      </c>
      <c r="I11" s="16">
        <v>363584.67271093786</v>
      </c>
      <c r="J11" s="14">
        <v>349835.0953706837</v>
      </c>
      <c r="K11" s="15">
        <v>582894.12602783006</v>
      </c>
      <c r="L11" s="16">
        <v>419657.9435425679</v>
      </c>
      <c r="M11" s="118">
        <f t="shared" si="0"/>
        <v>420503.03695637529</v>
      </c>
      <c r="N11" s="118">
        <f>AVERAGE(H11:J11)</f>
        <v>359990.0717583613</v>
      </c>
      <c r="O11">
        <f t="shared" si="2"/>
        <v>-0.22415910123320981</v>
      </c>
    </row>
    <row r="12" spans="1:15" x14ac:dyDescent="0.2">
      <c r="A12" s="12" t="s">
        <v>27</v>
      </c>
      <c r="B12" s="12" t="s">
        <v>19</v>
      </c>
      <c r="C12" s="13"/>
      <c r="D12" s="14">
        <v>2150832.5696901474</v>
      </c>
      <c r="E12" s="119">
        <v>2411344.6705268542</v>
      </c>
      <c r="F12" s="16">
        <v>2206605.2008410832</v>
      </c>
      <c r="G12" s="14">
        <v>4547.4450285955918</v>
      </c>
      <c r="H12" s="15">
        <v>2301323.5840162323</v>
      </c>
      <c r="I12" s="16">
        <v>2117357.5476407963</v>
      </c>
      <c r="J12" s="14">
        <v>1965984.9914050666</v>
      </c>
      <c r="K12" s="15">
        <v>3252049.8522449038</v>
      </c>
      <c r="L12" s="16">
        <v>2170995.0245738202</v>
      </c>
      <c r="M12" s="118">
        <f t="shared" si="0"/>
        <v>2256260.8136860286</v>
      </c>
      <c r="N12" s="118">
        <f t="shared" si="1"/>
        <v>1474409.5255618747</v>
      </c>
      <c r="O12">
        <f t="shared" si="2"/>
        <v>-0.61379654970910291</v>
      </c>
    </row>
    <row r="13" spans="1:15" x14ac:dyDescent="0.2">
      <c r="A13" s="12" t="s">
        <v>28</v>
      </c>
      <c r="B13" s="12" t="s">
        <v>19</v>
      </c>
      <c r="C13" s="13"/>
      <c r="D13" s="14">
        <v>2413628.1161361411</v>
      </c>
      <c r="E13" s="119">
        <v>2550157.5632593893</v>
      </c>
      <c r="F13" s="16">
        <v>2245004.336158372</v>
      </c>
      <c r="G13" s="14">
        <v>4968.333791840274</v>
      </c>
      <c r="H13" s="15">
        <v>2140041.0833334653</v>
      </c>
      <c r="I13" s="16">
        <v>2141448.6550644203</v>
      </c>
      <c r="J13" s="14">
        <v>2105259.2161141075</v>
      </c>
      <c r="K13" s="15">
        <v>3741969.6364342896</v>
      </c>
      <c r="L13" s="16">
        <v>2218532.4567025946</v>
      </c>
      <c r="M13" s="118">
        <f t="shared" si="0"/>
        <v>2402930.0051846341</v>
      </c>
      <c r="N13" s="118">
        <f t="shared" si="1"/>
        <v>1428819.3573965754</v>
      </c>
      <c r="O13">
        <f t="shared" si="2"/>
        <v>-0.74997109380958682</v>
      </c>
    </row>
    <row r="14" spans="1:15" x14ac:dyDescent="0.2">
      <c r="A14" s="12" t="s">
        <v>29</v>
      </c>
      <c r="B14" s="12" t="s">
        <v>19</v>
      </c>
      <c r="C14" s="13"/>
      <c r="D14" s="14">
        <v>71634.435183251422</v>
      </c>
      <c r="E14" s="119">
        <v>70711.519159409334</v>
      </c>
      <c r="F14" s="16">
        <v>57233.729767473786</v>
      </c>
      <c r="G14" s="14">
        <v>1879.1497726553973</v>
      </c>
      <c r="H14" s="15">
        <v>58914.842416537991</v>
      </c>
      <c r="I14" s="16">
        <v>64920.04921621309</v>
      </c>
      <c r="J14" s="14">
        <v>51735.146005866925</v>
      </c>
      <c r="K14" s="15">
        <v>104043.73850561852</v>
      </c>
      <c r="L14" s="16">
        <v>60260.562556813165</v>
      </c>
      <c r="M14" s="118">
        <f t="shared" si="0"/>
        <v>66526.561370044845</v>
      </c>
      <c r="N14" s="118">
        <f t="shared" si="1"/>
        <v>41904.680468468832</v>
      </c>
      <c r="O14">
        <f t="shared" si="2"/>
        <v>-0.66681907334516588</v>
      </c>
    </row>
    <row r="15" spans="1:15" x14ac:dyDescent="0.2">
      <c r="A15" s="12" t="s">
        <v>30</v>
      </c>
      <c r="B15" s="12" t="s">
        <v>19</v>
      </c>
      <c r="C15" s="13"/>
      <c r="D15" s="14">
        <v>720620.90518657467</v>
      </c>
      <c r="E15" s="119">
        <v>781054.24687139085</v>
      </c>
      <c r="F15" s="16">
        <v>682918.94164800772</v>
      </c>
      <c r="G15" s="14">
        <v>884.63393016856787</v>
      </c>
      <c r="H15" s="15">
        <v>688679.59602543747</v>
      </c>
      <c r="I15" s="16">
        <v>650440.59404762264</v>
      </c>
      <c r="J15" s="14">
        <v>671957.77948617376</v>
      </c>
      <c r="K15" s="15">
        <v>1067139.4022411734</v>
      </c>
      <c r="L15" s="16">
        <v>687837.11291263718</v>
      </c>
      <c r="M15" s="118">
        <f t="shared" si="0"/>
        <v>728198.03123532434</v>
      </c>
      <c r="N15" s="118">
        <f t="shared" si="1"/>
        <v>446668.27466774289</v>
      </c>
      <c r="O15">
        <f t="shared" si="2"/>
        <v>-0.70512705175506207</v>
      </c>
    </row>
    <row r="16" spans="1:15" x14ac:dyDescent="0.2">
      <c r="A16" s="12" t="s">
        <v>31</v>
      </c>
      <c r="B16" s="12" t="s">
        <v>19</v>
      </c>
      <c r="C16" s="13"/>
      <c r="D16" s="14">
        <v>944949.97165694437</v>
      </c>
      <c r="E16" s="119">
        <v>1073175.6455688139</v>
      </c>
      <c r="F16" s="16">
        <v>981491.73956393765</v>
      </c>
      <c r="G16" s="14">
        <v>1535.9633784380489</v>
      </c>
      <c r="H16" s="15">
        <v>936210.39093855955</v>
      </c>
      <c r="I16" s="16">
        <v>976280.27828863764</v>
      </c>
      <c r="J16" s="14">
        <v>923385.04614095902</v>
      </c>
      <c r="K16" s="15">
        <v>1708003.1943206573</v>
      </c>
      <c r="L16" s="16">
        <v>1033828.0566211959</v>
      </c>
      <c r="M16" s="118">
        <f t="shared" si="0"/>
        <v>999872.45226323197</v>
      </c>
      <c r="N16" s="118">
        <f t="shared" si="1"/>
        <v>638008.87753521174</v>
      </c>
      <c r="O16">
        <f t="shared" si="2"/>
        <v>-0.64816757224281107</v>
      </c>
    </row>
    <row r="17" spans="1:15" x14ac:dyDescent="0.2">
      <c r="A17" s="12" t="s">
        <v>32</v>
      </c>
      <c r="B17" s="12" t="s">
        <v>19</v>
      </c>
      <c r="C17" s="13"/>
      <c r="D17" s="14">
        <v>5582545.3074511345</v>
      </c>
      <c r="E17" s="119">
        <v>5939062.0368482666</v>
      </c>
      <c r="F17" s="16">
        <v>5205846.7750011738</v>
      </c>
      <c r="G17" s="14">
        <v>9395.5812808851224</v>
      </c>
      <c r="H17" s="15">
        <v>6227131.4447535696</v>
      </c>
      <c r="I17" s="16">
        <v>5952991.2134355279</v>
      </c>
      <c r="J17" s="14">
        <v>4861982.2642614627</v>
      </c>
      <c r="K17" s="15">
        <v>7946256.6573633952</v>
      </c>
      <c r="L17" s="16">
        <v>5098600.5555686308</v>
      </c>
      <c r="M17" s="118">
        <f t="shared" si="0"/>
        <v>5575818.0397668583</v>
      </c>
      <c r="N17" s="118">
        <f t="shared" si="1"/>
        <v>4063172.7464899942</v>
      </c>
      <c r="O17">
        <f t="shared" si="2"/>
        <v>-0.45657677902525817</v>
      </c>
    </row>
    <row r="18" spans="1:15" x14ac:dyDescent="0.2">
      <c r="A18" s="12" t="s">
        <v>33</v>
      </c>
      <c r="B18" s="12" t="s">
        <v>19</v>
      </c>
      <c r="C18" s="13"/>
      <c r="D18" s="14">
        <v>280103.81667838234</v>
      </c>
      <c r="E18" s="119">
        <v>310988.07726703113</v>
      </c>
      <c r="F18" s="16">
        <v>275699.34998436057</v>
      </c>
      <c r="G18" s="14">
        <v>1667.8879613660779</v>
      </c>
      <c r="H18" s="15">
        <v>183831.13900813065</v>
      </c>
      <c r="I18" s="16">
        <v>214395.48681242316</v>
      </c>
      <c r="J18" s="14">
        <v>235741.27845822283</v>
      </c>
      <c r="K18" s="15">
        <v>430423.0899808174</v>
      </c>
      <c r="L18" s="16">
        <v>281082.20344915328</v>
      </c>
      <c r="M18" s="118">
        <f t="shared" si="0"/>
        <v>288930.41464325803</v>
      </c>
      <c r="N18" s="118">
        <f t="shared" si="1"/>
        <v>133298.17126063994</v>
      </c>
      <c r="O18">
        <f t="shared" si="2"/>
        <v>-1.1160650911090262</v>
      </c>
    </row>
    <row r="19" spans="1:15" x14ac:dyDescent="0.2">
      <c r="A19" s="12" t="s">
        <v>34</v>
      </c>
      <c r="B19" s="12" t="s">
        <v>19</v>
      </c>
      <c r="C19" s="13"/>
      <c r="D19" s="14">
        <v>711193.89803598507</v>
      </c>
      <c r="E19" s="119">
        <v>759317.46047151275</v>
      </c>
      <c r="F19" s="16">
        <v>652785.0511682221</v>
      </c>
      <c r="G19" s="14">
        <v>1560.7469521680712</v>
      </c>
      <c r="H19" s="15">
        <v>517845.61757607595</v>
      </c>
      <c r="I19" s="16">
        <v>611845.63937778189</v>
      </c>
      <c r="J19" s="14">
        <v>601426.3771730552</v>
      </c>
      <c r="K19" s="15">
        <v>1067123.4983647736</v>
      </c>
      <c r="L19" s="16">
        <v>741415.45342406875</v>
      </c>
      <c r="M19" s="118">
        <f t="shared" si="0"/>
        <v>707765.4698919066</v>
      </c>
      <c r="N19" s="118">
        <f t="shared" si="1"/>
        <v>377084.00130200869</v>
      </c>
      <c r="O19">
        <f t="shared" si="2"/>
        <v>-0.90838543603302657</v>
      </c>
    </row>
    <row r="20" spans="1:15" x14ac:dyDescent="0.2">
      <c r="A20" s="12" t="s">
        <v>35</v>
      </c>
      <c r="B20" s="12" t="s">
        <v>19</v>
      </c>
      <c r="C20" s="13"/>
      <c r="D20" s="14">
        <v>158592.40940357244</v>
      </c>
      <c r="E20" s="119">
        <v>157075.8715750234</v>
      </c>
      <c r="F20" s="16">
        <v>124827.13024138528</v>
      </c>
      <c r="G20" s="14">
        <v>44.457746534786374</v>
      </c>
      <c r="H20" s="15">
        <v>133993.92845046372</v>
      </c>
      <c r="I20" s="16">
        <v>130956.76924813849</v>
      </c>
      <c r="J20" s="14">
        <v>129126.47917941671</v>
      </c>
      <c r="K20" s="15">
        <v>203826.4816741652</v>
      </c>
      <c r="L20" s="16">
        <v>130118.87338842834</v>
      </c>
      <c r="M20" s="118">
        <f t="shared" si="0"/>
        <v>146831.80373999372</v>
      </c>
      <c r="N20" s="118">
        <f t="shared" si="1"/>
        <v>88331.718481712334</v>
      </c>
      <c r="O20">
        <f t="shared" si="2"/>
        <v>-0.73316100517594629</v>
      </c>
    </row>
    <row r="21" spans="1:15" x14ac:dyDescent="0.2">
      <c r="A21" s="12" t="s">
        <v>36</v>
      </c>
      <c r="B21" s="12" t="s">
        <v>19</v>
      </c>
      <c r="C21" s="13"/>
      <c r="D21" s="14">
        <v>655566.95698642032</v>
      </c>
      <c r="E21" s="119">
        <v>760770.52112524444</v>
      </c>
      <c r="F21" s="16">
        <v>632300.07535541803</v>
      </c>
      <c r="G21" s="14">
        <v>2063.188755399794</v>
      </c>
      <c r="H21" s="15">
        <v>651384.07312169543</v>
      </c>
      <c r="I21" s="16">
        <v>661496.27040333615</v>
      </c>
      <c r="J21" s="14">
        <v>580687.96136959351</v>
      </c>
      <c r="K21" s="15">
        <v>1019706.0268733522</v>
      </c>
      <c r="L21" s="16">
        <v>647239.40736862621</v>
      </c>
      <c r="M21" s="118">
        <f t="shared" si="0"/>
        <v>682879.1844890276</v>
      </c>
      <c r="N21" s="118">
        <f t="shared" si="1"/>
        <v>438314.51076014381</v>
      </c>
      <c r="O21">
        <f t="shared" si="2"/>
        <v>-0.63966391712268744</v>
      </c>
    </row>
    <row r="22" spans="1:15" x14ac:dyDescent="0.2">
      <c r="A22" s="17" t="s">
        <v>37</v>
      </c>
      <c r="B22" s="17" t="s">
        <v>19</v>
      </c>
      <c r="C22" s="18"/>
      <c r="D22" s="19" t="e">
        <v>#VALUE!</v>
      </c>
      <c r="E22" s="120" t="e">
        <v>#VALUE!</v>
      </c>
      <c r="F22" s="21" t="e">
        <v>#VALUE!</v>
      </c>
      <c r="G22" s="19" t="e">
        <v>#VALUE!</v>
      </c>
      <c r="H22" s="20" t="e">
        <v>#VALUE!</v>
      </c>
      <c r="I22" s="21" t="e">
        <v>#VALUE!</v>
      </c>
      <c r="J22" s="19" t="e">
        <v>#VALUE!</v>
      </c>
      <c r="K22" s="20" t="e">
        <v>#VALUE!</v>
      </c>
      <c r="L22" s="21" t="e">
        <v>#VALUE!</v>
      </c>
      <c r="M22" s="118" t="e">
        <f t="shared" si="0"/>
        <v>#VALUE!</v>
      </c>
      <c r="N22" s="118" t="e">
        <f t="shared" si="1"/>
        <v>#VALUE!</v>
      </c>
      <c r="O22" t="e">
        <f t="shared" si="2"/>
        <v>#VALUE!</v>
      </c>
    </row>
    <row r="23" spans="1:15" x14ac:dyDescent="0.2">
      <c r="A23" s="22" t="s">
        <v>38</v>
      </c>
      <c r="B23" s="22" t="s">
        <v>39</v>
      </c>
      <c r="C23" s="23"/>
      <c r="D23" s="24">
        <v>12716.268843313966</v>
      </c>
      <c r="E23" s="121">
        <v>9995.0978216623971</v>
      </c>
      <c r="F23" s="26">
        <v>9209.4630339354135</v>
      </c>
      <c r="G23" s="24" t="e">
        <v>#VALUE!</v>
      </c>
      <c r="H23" s="25">
        <v>9701.921402590975</v>
      </c>
      <c r="I23" s="26">
        <v>10029.994288774949</v>
      </c>
      <c r="J23" s="24">
        <v>7907.1554308878813</v>
      </c>
      <c r="K23" s="25">
        <v>10649.099091902182</v>
      </c>
      <c r="L23" s="26">
        <v>8295.439455925949</v>
      </c>
      <c r="M23" s="118">
        <f t="shared" si="0"/>
        <v>10640.276566303924</v>
      </c>
      <c r="N23" s="118">
        <f>AVERAGE(H23:J23)</f>
        <v>9213.0237074179349</v>
      </c>
      <c r="O23">
        <f t="shared" si="2"/>
        <v>-0.20778901986212667</v>
      </c>
    </row>
    <row r="24" spans="1:15" x14ac:dyDescent="0.2">
      <c r="A24" s="27" t="s">
        <v>40</v>
      </c>
      <c r="B24" s="27" t="s">
        <v>39</v>
      </c>
      <c r="C24" s="28"/>
      <c r="D24" s="29">
        <v>5023.5844434033515</v>
      </c>
      <c r="E24" s="122">
        <v>5029.7379067446345</v>
      </c>
      <c r="F24" s="31">
        <v>4733.2184818346914</v>
      </c>
      <c r="G24" s="29" t="e">
        <v>#VALUE!</v>
      </c>
      <c r="H24" s="30">
        <v>5784.0583063884105</v>
      </c>
      <c r="I24" s="31">
        <v>5320.8834482310167</v>
      </c>
      <c r="J24" s="29">
        <v>4750.8323655310023</v>
      </c>
      <c r="K24" s="30">
        <v>7016.7610078406406</v>
      </c>
      <c r="L24" s="31">
        <v>5006.779913240649</v>
      </c>
      <c r="M24" s="118">
        <f t="shared" si="0"/>
        <v>4928.8469439942264</v>
      </c>
      <c r="N24" s="118">
        <f>AVERAGE(H24:J24)</f>
        <v>5285.2580400501429</v>
      </c>
      <c r="O24">
        <f t="shared" si="2"/>
        <v>0.10072372791041025</v>
      </c>
    </row>
    <row r="25" spans="1:15" x14ac:dyDescent="0.2">
      <c r="A25" s="32" t="s">
        <v>41</v>
      </c>
      <c r="B25" s="32" t="s">
        <v>39</v>
      </c>
      <c r="C25" s="33"/>
      <c r="D25" s="34">
        <v>163610.60573502869</v>
      </c>
      <c r="E25" s="123">
        <v>153937.77987255255</v>
      </c>
      <c r="F25" s="36">
        <v>149973.67215264452</v>
      </c>
      <c r="G25" s="34" t="e">
        <v>#VALUE!</v>
      </c>
      <c r="H25" s="35">
        <v>160845.42279318551</v>
      </c>
      <c r="I25" s="36">
        <v>161614.12440085501</v>
      </c>
      <c r="J25" s="34">
        <v>124258.30148965512</v>
      </c>
      <c r="K25" s="35">
        <v>217265.87290518731</v>
      </c>
      <c r="L25" s="36">
        <v>133413.49838377073</v>
      </c>
      <c r="M25" s="118">
        <f t="shared" si="0"/>
        <v>155840.68592007525</v>
      </c>
      <c r="N25" s="118">
        <f>AVERAGE(H25:J25)</f>
        <v>148905.94956123186</v>
      </c>
      <c r="O25">
        <f t="shared" si="2"/>
        <v>-6.5670534266818528E-2</v>
      </c>
    </row>
    <row r="26" spans="1:15" x14ac:dyDescent="0.2">
      <c r="A26" s="37" t="s">
        <v>42</v>
      </c>
      <c r="B26" s="37" t="s">
        <v>43</v>
      </c>
      <c r="C26" s="38"/>
      <c r="D26" s="39">
        <v>36972.087912533418</v>
      </c>
      <c r="E26" s="124">
        <v>44512.075521024213</v>
      </c>
      <c r="F26" s="41">
        <v>40832.334544933488</v>
      </c>
      <c r="G26" s="39">
        <v>66.172700467131762</v>
      </c>
      <c r="H26" s="40">
        <v>40000.914559137724</v>
      </c>
      <c r="I26" s="41">
        <v>40070.339966339896</v>
      </c>
      <c r="J26" s="39">
        <v>29737.48772888575</v>
      </c>
      <c r="K26" s="40">
        <v>63482.776198859334</v>
      </c>
      <c r="L26" s="41">
        <v>38752.425524612467</v>
      </c>
      <c r="M26" s="118">
        <f t="shared" si="0"/>
        <v>40772.165992830378</v>
      </c>
      <c r="N26" s="118">
        <f t="shared" si="1"/>
        <v>26712.475741981587</v>
      </c>
      <c r="O26">
        <f t="shared" si="2"/>
        <v>-0.61007090827665789</v>
      </c>
    </row>
    <row r="27" spans="1:15" x14ac:dyDescent="0.2">
      <c r="A27" s="42" t="s">
        <v>44</v>
      </c>
      <c r="B27" s="42" t="s">
        <v>43</v>
      </c>
      <c r="C27" s="43"/>
      <c r="D27" s="44">
        <v>39333.081071101275</v>
      </c>
      <c r="E27" s="125">
        <v>36430.271119845413</v>
      </c>
      <c r="F27" s="46">
        <v>34513.270800566206</v>
      </c>
      <c r="G27" s="44">
        <v>68.58961096311738</v>
      </c>
      <c r="H27" s="45">
        <v>39494.306887094732</v>
      </c>
      <c r="I27" s="46">
        <v>41940.809715230011</v>
      </c>
      <c r="J27" s="44">
        <v>31871.817338900262</v>
      </c>
      <c r="K27" s="45">
        <v>48312.617730467318</v>
      </c>
      <c r="L27" s="46">
        <v>34814.921747784676</v>
      </c>
      <c r="M27" s="118">
        <f t="shared" si="0"/>
        <v>36758.874330504303</v>
      </c>
      <c r="N27" s="118">
        <f t="shared" si="1"/>
        <v>27167.902071095956</v>
      </c>
      <c r="O27">
        <f t="shared" si="2"/>
        <v>-0.43618942385373921</v>
      </c>
    </row>
    <row r="28" spans="1:15" x14ac:dyDescent="0.2">
      <c r="A28" s="42" t="s">
        <v>0</v>
      </c>
      <c r="B28" s="42" t="s">
        <v>43</v>
      </c>
      <c r="C28" s="43"/>
      <c r="D28" s="44">
        <v>9772.961638668623</v>
      </c>
      <c r="E28" s="125">
        <v>9580.2976565232002</v>
      </c>
      <c r="F28" s="46">
        <v>8403.1645493618416</v>
      </c>
      <c r="G28" s="44">
        <v>25.625209742491624</v>
      </c>
      <c r="H28" s="45">
        <v>12062.661498584392</v>
      </c>
      <c r="I28" s="46">
        <v>11752.11773214928</v>
      </c>
      <c r="J28" s="44">
        <v>7891.8181119354604</v>
      </c>
      <c r="K28" s="45">
        <v>13961.171264823342</v>
      </c>
      <c r="L28" s="46">
        <v>8450.901252329204</v>
      </c>
      <c r="M28" s="118">
        <f t="shared" si="0"/>
        <v>9252.1412815178883</v>
      </c>
      <c r="N28" s="118">
        <f t="shared" si="1"/>
        <v>7946.8014801587206</v>
      </c>
      <c r="O28">
        <f t="shared" si="2"/>
        <v>-0.21941299153151889</v>
      </c>
    </row>
    <row r="29" spans="1:15" x14ac:dyDescent="0.2">
      <c r="A29" s="42" t="s">
        <v>3</v>
      </c>
      <c r="B29" s="42" t="s">
        <v>43</v>
      </c>
      <c r="C29" s="43"/>
      <c r="D29" s="44">
        <v>7281464.7485958477</v>
      </c>
      <c r="E29" s="125">
        <v>5373687.1338447277</v>
      </c>
      <c r="F29" s="46">
        <v>6417514.826753662</v>
      </c>
      <c r="G29" s="44">
        <v>6031.2902831641204</v>
      </c>
      <c r="H29" s="45">
        <v>5457236.3778439863</v>
      </c>
      <c r="I29" s="46">
        <v>5879980.5978457853</v>
      </c>
      <c r="J29" s="44">
        <v>4729571.2081479719</v>
      </c>
      <c r="K29" s="45">
        <v>8270078.5326256277</v>
      </c>
      <c r="L29" s="46">
        <v>7654615.0403253362</v>
      </c>
      <c r="M29" s="118">
        <f t="shared" si="0"/>
        <v>6357555.5697314115</v>
      </c>
      <c r="N29" s="118">
        <f t="shared" si="1"/>
        <v>3781082.7553243116</v>
      </c>
      <c r="O29">
        <f t="shared" si="2"/>
        <v>-0.74967274172450049</v>
      </c>
    </row>
    <row r="30" spans="1:15" x14ac:dyDescent="0.2">
      <c r="A30" s="42" t="s">
        <v>1</v>
      </c>
      <c r="B30" s="42" t="s">
        <v>43</v>
      </c>
      <c r="C30" s="43"/>
      <c r="D30" s="44">
        <v>7009.1534403855576</v>
      </c>
      <c r="E30" s="125">
        <v>8418.6149614579772</v>
      </c>
      <c r="F30" s="46">
        <v>6354.2045654334142</v>
      </c>
      <c r="G30" s="44" t="e">
        <v>#VALUE!</v>
      </c>
      <c r="H30" s="45">
        <v>8573.478567604061</v>
      </c>
      <c r="I30" s="46">
        <v>7433.7114847867642</v>
      </c>
      <c r="J30" s="44">
        <v>5799.0243867206082</v>
      </c>
      <c r="K30" s="45">
        <v>8620.2789466883987</v>
      </c>
      <c r="L30" s="46">
        <v>5855.2042914758758</v>
      </c>
      <c r="M30" s="118">
        <f t="shared" si="0"/>
        <v>7260.6576557589833</v>
      </c>
      <c r="N30" s="118">
        <f>AVERAGE(H30,I30,K30)</f>
        <v>8209.1563330264089</v>
      </c>
      <c r="O30">
        <f t="shared" si="2"/>
        <v>0.17713373119406611</v>
      </c>
    </row>
    <row r="31" spans="1:15" x14ac:dyDescent="0.2">
      <c r="A31" s="47" t="s">
        <v>2</v>
      </c>
      <c r="B31" s="47" t="s">
        <v>43</v>
      </c>
      <c r="C31" s="48"/>
      <c r="D31" s="49">
        <v>591538.66129126051</v>
      </c>
      <c r="E31" s="126">
        <v>605978.41921455343</v>
      </c>
      <c r="F31" s="51">
        <v>430965.35173212975</v>
      </c>
      <c r="G31" s="49">
        <v>211.62304444511395</v>
      </c>
      <c r="H31" s="50">
        <v>453591.86228133546</v>
      </c>
      <c r="I31" s="51">
        <v>426261.68333849235</v>
      </c>
      <c r="J31" s="49">
        <v>408500.53385384119</v>
      </c>
      <c r="K31" s="50">
        <v>777350.01812502195</v>
      </c>
      <c r="L31" s="51">
        <v>480217.06375386321</v>
      </c>
      <c r="M31" s="118">
        <f t="shared" si="0"/>
        <v>542827.47741264792</v>
      </c>
      <c r="N31" s="118">
        <f t="shared" si="1"/>
        <v>293355.05622142431</v>
      </c>
      <c r="O31">
        <f t="shared" si="2"/>
        <v>-0.88784589217385523</v>
      </c>
    </row>
    <row r="32" spans="1:15" x14ac:dyDescent="0.2">
      <c r="A32" s="52" t="s">
        <v>45</v>
      </c>
      <c r="B32" s="52" t="s">
        <v>46</v>
      </c>
      <c r="C32" s="53"/>
      <c r="D32" s="54">
        <v>1450118.0100564619</v>
      </c>
      <c r="E32" s="127">
        <v>1899470.501365988</v>
      </c>
      <c r="F32" s="56">
        <v>1504549.0335584302</v>
      </c>
      <c r="G32" s="54">
        <v>3922.2435372441923</v>
      </c>
      <c r="H32" s="55">
        <v>876617.88628543273</v>
      </c>
      <c r="I32" s="56">
        <v>1000116.9235505606</v>
      </c>
      <c r="J32" s="54">
        <v>1640284.7002779567</v>
      </c>
      <c r="K32" s="55">
        <v>2537024.5106430319</v>
      </c>
      <c r="L32" s="56">
        <v>1445856.8562661826</v>
      </c>
      <c r="M32" s="118">
        <f t="shared" si="0"/>
        <v>1618045.8483269599</v>
      </c>
      <c r="N32" s="118">
        <f t="shared" si="1"/>
        <v>626885.68445774587</v>
      </c>
      <c r="O32">
        <f t="shared" si="2"/>
        <v>-1.3679781980780179</v>
      </c>
    </row>
    <row r="33" spans="1:15" x14ac:dyDescent="0.2">
      <c r="A33" s="57" t="s">
        <v>47</v>
      </c>
      <c r="B33" s="57" t="s">
        <v>48</v>
      </c>
      <c r="C33" s="58"/>
      <c r="D33" s="59">
        <v>414.29292250243196</v>
      </c>
      <c r="E33" s="128">
        <v>982.86373904075924</v>
      </c>
      <c r="F33" s="61">
        <v>792.57327026658879</v>
      </c>
      <c r="G33" s="59" t="e">
        <v>#VALUE!</v>
      </c>
      <c r="H33" s="60">
        <v>596.91347593137402</v>
      </c>
      <c r="I33" s="61">
        <v>479.4104178376445</v>
      </c>
      <c r="J33" s="59">
        <v>535.95480668977848</v>
      </c>
      <c r="K33" s="60">
        <v>830.92115596902886</v>
      </c>
      <c r="L33" s="61">
        <v>502.58813626539796</v>
      </c>
      <c r="M33" s="118">
        <f t="shared" si="0"/>
        <v>729.90997726992657</v>
      </c>
      <c r="N33" s="118">
        <f t="shared" ref="N33:N38" si="3">AVERAGE(H33:J33)</f>
        <v>537.42623348626569</v>
      </c>
      <c r="O33">
        <f t="shared" si="2"/>
        <v>-0.44165179597850374</v>
      </c>
    </row>
    <row r="34" spans="1:15" x14ac:dyDescent="0.2">
      <c r="A34" s="62" t="s">
        <v>49</v>
      </c>
      <c r="B34" s="62" t="s">
        <v>48</v>
      </c>
      <c r="C34" s="63"/>
      <c r="D34" s="64">
        <v>13770.024357851813</v>
      </c>
      <c r="E34" s="129">
        <v>15118.081333500988</v>
      </c>
      <c r="F34" s="66">
        <v>12473.162339993656</v>
      </c>
      <c r="G34" s="64" t="e">
        <v>#VALUE!</v>
      </c>
      <c r="H34" s="65">
        <v>17859.061414734348</v>
      </c>
      <c r="I34" s="66">
        <v>16219.209441485937</v>
      </c>
      <c r="J34" s="64">
        <v>11965.125380193991</v>
      </c>
      <c r="K34" s="65">
        <v>17480.591216869343</v>
      </c>
      <c r="L34" s="66">
        <v>13013.317447359121</v>
      </c>
      <c r="M34" s="118">
        <f t="shared" si="0"/>
        <v>13787.089343782152</v>
      </c>
      <c r="N34" s="118">
        <f t="shared" si="3"/>
        <v>15347.798745471424</v>
      </c>
      <c r="O34">
        <f t="shared" si="2"/>
        <v>0.15471383725338494</v>
      </c>
    </row>
    <row r="35" spans="1:15" x14ac:dyDescent="0.2">
      <c r="A35" s="62" t="s">
        <v>50</v>
      </c>
      <c r="B35" s="67" t="s">
        <v>48</v>
      </c>
      <c r="C35" s="68"/>
      <c r="D35" s="69">
        <v>1445.6634238489501</v>
      </c>
      <c r="E35" s="130">
        <v>1495.8706208003684</v>
      </c>
      <c r="F35" s="71">
        <v>1688.6419551599324</v>
      </c>
      <c r="G35" s="69" t="e">
        <v>#VALUE!</v>
      </c>
      <c r="H35" s="70">
        <v>1778.186031657375</v>
      </c>
      <c r="I35" s="71">
        <v>1887.832371451713</v>
      </c>
      <c r="J35" s="69">
        <v>921.26248503163777</v>
      </c>
      <c r="K35" s="70">
        <v>1880.6989138466054</v>
      </c>
      <c r="L35" s="71">
        <v>1409.2769355907089</v>
      </c>
      <c r="M35" s="118">
        <f t="shared" si="0"/>
        <v>1543.3919999364171</v>
      </c>
      <c r="N35" s="118">
        <f t="shared" si="3"/>
        <v>1529.0936293802417</v>
      </c>
      <c r="O35">
        <f t="shared" si="2"/>
        <v>-1.3427784340142664E-2</v>
      </c>
    </row>
    <row r="36" spans="1:15" x14ac:dyDescent="0.2">
      <c r="A36" s="72" t="s">
        <v>4</v>
      </c>
      <c r="B36" s="72" t="s">
        <v>51</v>
      </c>
      <c r="C36" s="73"/>
      <c r="D36" s="74">
        <v>3380.5611289826224</v>
      </c>
      <c r="E36" s="131">
        <v>3136.0886245775273</v>
      </c>
      <c r="F36" s="76">
        <v>2756.6140537437959</v>
      </c>
      <c r="G36" s="74" t="e">
        <v>#VALUE!</v>
      </c>
      <c r="H36" s="75">
        <v>4646.4106263088324</v>
      </c>
      <c r="I36" s="76">
        <v>4865.1373987618254</v>
      </c>
      <c r="J36" s="74">
        <v>2397.9018876888786</v>
      </c>
      <c r="K36" s="75">
        <v>4324.7266623915539</v>
      </c>
      <c r="L36" s="76">
        <v>2783.7412296066523</v>
      </c>
      <c r="M36" s="118">
        <f t="shared" si="0"/>
        <v>3091.0879357679819</v>
      </c>
      <c r="N36" s="118">
        <f t="shared" si="3"/>
        <v>3969.8166375865117</v>
      </c>
      <c r="O36">
        <f t="shared" si="2"/>
        <v>0.36095767526392408</v>
      </c>
    </row>
    <row r="37" spans="1:15" x14ac:dyDescent="0.2">
      <c r="A37" s="77" t="s">
        <v>5</v>
      </c>
      <c r="B37" s="77" t="s">
        <v>51</v>
      </c>
      <c r="C37" s="78"/>
      <c r="D37" s="79">
        <v>209.15194898274299</v>
      </c>
      <c r="E37" s="132">
        <v>54.898309238760653</v>
      </c>
      <c r="F37" s="81" t="e">
        <v>#VALUE!</v>
      </c>
      <c r="G37" s="79" t="e">
        <v>#VALUE!</v>
      </c>
      <c r="H37" s="80">
        <v>591.63784131867908</v>
      </c>
      <c r="I37" s="81">
        <v>657.85047705607724</v>
      </c>
      <c r="J37" s="79">
        <v>255.78967400072389</v>
      </c>
      <c r="K37" s="80" t="e">
        <v>#VALUE!</v>
      </c>
      <c r="L37" s="81">
        <v>133.32511667738837</v>
      </c>
      <c r="M37" s="118">
        <f>AVERAGE(D37:E37)</f>
        <v>132.02512911075183</v>
      </c>
      <c r="N37" s="118">
        <f>AVERAGE(H37:J37)</f>
        <v>501.7593307918267</v>
      </c>
      <c r="O37">
        <f t="shared" si="2"/>
        <v>1.926182988152435</v>
      </c>
    </row>
    <row r="38" spans="1:15" x14ac:dyDescent="0.2">
      <c r="A38" s="82" t="s">
        <v>6</v>
      </c>
      <c r="B38" s="82" t="s">
        <v>51</v>
      </c>
      <c r="C38" s="83"/>
      <c r="D38" s="84">
        <v>5260.9703084393441</v>
      </c>
      <c r="E38" s="133">
        <v>5230.250662185721</v>
      </c>
      <c r="F38" s="86">
        <v>5023.4862923178653</v>
      </c>
      <c r="G38" s="84" t="e">
        <v>#VALUE!</v>
      </c>
      <c r="H38" s="85">
        <v>6286.3038577398247</v>
      </c>
      <c r="I38" s="86">
        <v>6333.0357252717331</v>
      </c>
      <c r="J38" s="84">
        <v>4847.9042221808095</v>
      </c>
      <c r="K38" s="85">
        <v>7201.1094287224132</v>
      </c>
      <c r="L38" s="86">
        <v>4404.2191910797774</v>
      </c>
      <c r="M38" s="118">
        <f t="shared" si="0"/>
        <v>5171.5690876476438</v>
      </c>
      <c r="N38" s="118">
        <f t="shared" si="3"/>
        <v>5822.4146017307894</v>
      </c>
      <c r="O38">
        <f t="shared" si="2"/>
        <v>0.17101550435406493</v>
      </c>
    </row>
    <row r="39" spans="1:15" x14ac:dyDescent="0.2">
      <c r="A39" s="87" t="s">
        <v>52</v>
      </c>
      <c r="B39" s="87" t="s">
        <v>53</v>
      </c>
      <c r="C39" s="88"/>
      <c r="D39" s="89">
        <v>298316.27388336783</v>
      </c>
      <c r="E39" s="134">
        <v>270888.9547028357</v>
      </c>
      <c r="F39" s="91">
        <v>254221.43235442575</v>
      </c>
      <c r="G39" s="89">
        <v>1049.5424518684681</v>
      </c>
      <c r="H39" s="90">
        <v>272326.376648515</v>
      </c>
      <c r="I39" s="91">
        <v>278252.30970644217</v>
      </c>
      <c r="J39" s="89">
        <v>229871.05829712201</v>
      </c>
      <c r="K39" s="90">
        <v>357760.47928515979</v>
      </c>
      <c r="L39" s="91">
        <v>250696.33777706514</v>
      </c>
      <c r="M39" s="118">
        <f t="shared" si="0"/>
        <v>274475.55364687642</v>
      </c>
      <c r="N39" s="118">
        <f t="shared" si="1"/>
        <v>183876.07626894186</v>
      </c>
      <c r="O39">
        <f t="shared" si="2"/>
        <v>-0.57794387440018602</v>
      </c>
    </row>
    <row r="40" spans="1:15" x14ac:dyDescent="0.2">
      <c r="A40" s="92" t="s">
        <v>54</v>
      </c>
      <c r="B40" s="92" t="s">
        <v>53</v>
      </c>
      <c r="C40" s="93"/>
      <c r="D40" s="94">
        <v>843028.91732892871</v>
      </c>
      <c r="E40" s="135">
        <v>961419.65822094202</v>
      </c>
      <c r="F40" s="96">
        <v>905169.69915223611</v>
      </c>
      <c r="G40" s="94">
        <v>855.14315325376026</v>
      </c>
      <c r="H40" s="95">
        <v>1159032.4172886393</v>
      </c>
      <c r="I40" s="96">
        <v>1143815.2575593975</v>
      </c>
      <c r="J40" s="94">
        <v>799592.13145164459</v>
      </c>
      <c r="K40" s="95">
        <v>1401998.445809321</v>
      </c>
      <c r="L40" s="96">
        <v>885218.70517979539</v>
      </c>
      <c r="M40" s="118">
        <f t="shared" si="0"/>
        <v>903206.09156736883</v>
      </c>
      <c r="N40" s="118">
        <f t="shared" si="1"/>
        <v>767900.93933376356</v>
      </c>
      <c r="O40">
        <f t="shared" si="2"/>
        <v>-0.23413500365642401</v>
      </c>
    </row>
    <row r="41" spans="1:15" x14ac:dyDescent="0.2">
      <c r="A41" s="92" t="s">
        <v>55</v>
      </c>
      <c r="B41" s="92" t="s">
        <v>53</v>
      </c>
      <c r="C41" s="93"/>
      <c r="D41" s="94">
        <v>1247537.5102713732</v>
      </c>
      <c r="E41" s="135">
        <v>1107672.7508721456</v>
      </c>
      <c r="F41" s="96">
        <v>1081197.2860658644</v>
      </c>
      <c r="G41" s="94">
        <v>3664.4310615483701</v>
      </c>
      <c r="H41" s="95">
        <v>1229104.5592020568</v>
      </c>
      <c r="I41" s="96">
        <v>1237070.2680221007</v>
      </c>
      <c r="J41" s="94">
        <v>1051016.8182378088</v>
      </c>
      <c r="K41" s="95">
        <v>1486940.3364546141</v>
      </c>
      <c r="L41" s="96">
        <v>1011516.5236275053</v>
      </c>
      <c r="M41" s="118">
        <f t="shared" si="0"/>
        <v>1145469.1824031277</v>
      </c>
      <c r="N41" s="118">
        <f t="shared" si="1"/>
        <v>823279.75276190194</v>
      </c>
      <c r="O41">
        <f t="shared" si="2"/>
        <v>-0.47648399415265164</v>
      </c>
    </row>
    <row r="42" spans="1:15" x14ac:dyDescent="0.2">
      <c r="A42" s="97" t="s">
        <v>56</v>
      </c>
      <c r="B42" s="97" t="s">
        <v>53</v>
      </c>
      <c r="C42" s="98"/>
      <c r="D42" s="99">
        <v>253298.83943327796</v>
      </c>
      <c r="E42" s="136">
        <v>185723.58881430927</v>
      </c>
      <c r="F42" s="101">
        <v>214078.26912476259</v>
      </c>
      <c r="G42" s="99">
        <v>2545.9452136672949</v>
      </c>
      <c r="H42" s="100">
        <v>258717.64970377058</v>
      </c>
      <c r="I42" s="101">
        <v>259480.18207867019</v>
      </c>
      <c r="J42" s="99">
        <v>184742.5301515618</v>
      </c>
      <c r="K42" s="100">
        <v>331628.12444486591</v>
      </c>
      <c r="L42" s="101">
        <v>243025.5007158168</v>
      </c>
      <c r="M42" s="118">
        <f t="shared" si="0"/>
        <v>217700.23245744992</v>
      </c>
      <c r="N42" s="118">
        <f t="shared" si="1"/>
        <v>173581.25899870269</v>
      </c>
      <c r="O42">
        <f t="shared" si="2"/>
        <v>-0.32673175489642287</v>
      </c>
    </row>
    <row r="43" spans="1:15" x14ac:dyDescent="0.2">
      <c r="A43" s="102" t="s">
        <v>57</v>
      </c>
      <c r="B43" s="102" t="s">
        <v>58</v>
      </c>
      <c r="C43" s="103"/>
      <c r="D43" s="104">
        <v>22260.165034715257</v>
      </c>
      <c r="E43" s="137">
        <v>20542.649184620579</v>
      </c>
      <c r="F43" s="106">
        <v>19448.726583085365</v>
      </c>
      <c r="G43" s="104" t="e">
        <v>#VALUE!</v>
      </c>
      <c r="H43" s="105">
        <v>17769.85256129743</v>
      </c>
      <c r="I43" s="106">
        <v>18074.227513880884</v>
      </c>
      <c r="J43" s="104">
        <v>17547.040923106189</v>
      </c>
      <c r="K43" s="105">
        <v>29502.763577854901</v>
      </c>
      <c r="L43" s="106">
        <v>19325.376404855808</v>
      </c>
      <c r="M43" s="118">
        <f t="shared" si="0"/>
        <v>20750.513600807066</v>
      </c>
      <c r="N43" s="118">
        <f>AVERAGE(H43:J43)</f>
        <v>17797.040332761502</v>
      </c>
      <c r="O43">
        <f t="shared" si="2"/>
        <v>-0.22150970600466449</v>
      </c>
    </row>
    <row r="44" spans="1:15" x14ac:dyDescent="0.2">
      <c r="A44" s="102" t="s">
        <v>59</v>
      </c>
      <c r="B44" s="102" t="s">
        <v>58</v>
      </c>
      <c r="C44" s="103"/>
      <c r="D44" s="104">
        <v>44396.628653844091</v>
      </c>
      <c r="E44" s="137">
        <v>44193.43706972598</v>
      </c>
      <c r="F44" s="106">
        <v>33759.265204483898</v>
      </c>
      <c r="G44" s="104">
        <v>44.28271603661792</v>
      </c>
      <c r="H44" s="105">
        <v>31061.916692439496</v>
      </c>
      <c r="I44" s="106">
        <v>33360.373776308326</v>
      </c>
      <c r="J44" s="104">
        <v>35788.900662808272</v>
      </c>
      <c r="K44" s="105">
        <v>57383.325667162862</v>
      </c>
      <c r="L44" s="106">
        <v>41679.737648343602</v>
      </c>
      <c r="M44" s="118">
        <f t="shared" si="0"/>
        <v>40783.110309351323</v>
      </c>
      <c r="N44" s="118">
        <f t="shared" si="1"/>
        <v>21488.857728261482</v>
      </c>
      <c r="O44">
        <f t="shared" si="2"/>
        <v>-0.92438300993889644</v>
      </c>
    </row>
    <row r="45" spans="1:15" x14ac:dyDescent="0.2">
      <c r="A45" s="102" t="s">
        <v>60</v>
      </c>
      <c r="B45" s="102" t="s">
        <v>58</v>
      </c>
      <c r="C45" s="103"/>
      <c r="D45" s="104">
        <v>7082.8119153709185</v>
      </c>
      <c r="E45" s="137">
        <v>6635.2048382331932</v>
      </c>
      <c r="F45" s="106">
        <v>6278.3019940956674</v>
      </c>
      <c r="G45" s="104" t="e">
        <v>#VALUE!</v>
      </c>
      <c r="H45" s="105">
        <v>6436.0394287290692</v>
      </c>
      <c r="I45" s="106">
        <v>5892.6501812067527</v>
      </c>
      <c r="J45" s="104">
        <v>8490.37773049719</v>
      </c>
      <c r="K45" s="105">
        <v>13452.033867914794</v>
      </c>
      <c r="L45" s="106">
        <v>9245.7815676539758</v>
      </c>
      <c r="M45" s="118">
        <f t="shared" si="0"/>
        <v>6665.4395825665924</v>
      </c>
      <c r="N45" s="118">
        <f>AVERAGE(H45:J45)</f>
        <v>6939.6891134776706</v>
      </c>
      <c r="O45">
        <f t="shared" si="2"/>
        <v>5.8171010411700808E-2</v>
      </c>
    </row>
    <row r="46" spans="1:15" x14ac:dyDescent="0.2">
      <c r="A46" s="102" t="s">
        <v>61</v>
      </c>
      <c r="B46" s="102" t="s">
        <v>58</v>
      </c>
      <c r="C46" s="103"/>
      <c r="D46" s="104">
        <v>4867918.3704844825</v>
      </c>
      <c r="E46" s="137">
        <v>4458110.4519969728</v>
      </c>
      <c r="F46" s="106">
        <v>4001058.077477871</v>
      </c>
      <c r="G46" s="104">
        <v>12089.658156800215</v>
      </c>
      <c r="H46" s="105">
        <v>3635848.4641729691</v>
      </c>
      <c r="I46" s="106">
        <v>3629456.4359389869</v>
      </c>
      <c r="J46" s="104">
        <v>3802484.6052074926</v>
      </c>
      <c r="K46" s="105">
        <v>5746089.0926640434</v>
      </c>
      <c r="L46" s="106">
        <v>4046917.754133746</v>
      </c>
      <c r="M46" s="118">
        <f t="shared" si="0"/>
        <v>4442362.2999864416</v>
      </c>
      <c r="N46" s="118">
        <f t="shared" si="1"/>
        <v>2425798.1860895851</v>
      </c>
      <c r="O46">
        <f t="shared" si="2"/>
        <v>-0.87286752703652781</v>
      </c>
    </row>
    <row r="47" spans="1:15" x14ac:dyDescent="0.2">
      <c r="A47" s="102" t="s">
        <v>62</v>
      </c>
      <c r="B47" s="102" t="s">
        <v>58</v>
      </c>
      <c r="C47" s="103"/>
      <c r="D47" s="104">
        <v>18500.964680264064</v>
      </c>
      <c r="E47" s="137">
        <v>22704.859970753154</v>
      </c>
      <c r="F47" s="106">
        <v>19898.445424110243</v>
      </c>
      <c r="G47" s="104" t="e">
        <v>#VALUE!</v>
      </c>
      <c r="H47" s="105">
        <v>20543.141414034624</v>
      </c>
      <c r="I47" s="106">
        <v>22000.164095741082</v>
      </c>
      <c r="J47" s="104">
        <v>15624.346535642328</v>
      </c>
      <c r="K47" s="105">
        <v>33032.43662308003</v>
      </c>
      <c r="L47" s="106">
        <v>16326.163825335592</v>
      </c>
      <c r="M47" s="118">
        <f t="shared" si="0"/>
        <v>20368.090025042486</v>
      </c>
      <c r="N47" s="118">
        <f>AVERAGE(H47:J47)</f>
        <v>19389.217348472677</v>
      </c>
      <c r="O47">
        <f t="shared" si="2"/>
        <v>-7.105613113698675E-2</v>
      </c>
    </row>
    <row r="48" spans="1:15" x14ac:dyDescent="0.2">
      <c r="A48" s="102" t="s">
        <v>63</v>
      </c>
      <c r="B48" s="102" t="s">
        <v>58</v>
      </c>
      <c r="C48" s="103"/>
      <c r="D48" s="104">
        <v>97323.701480816817</v>
      </c>
      <c r="E48" s="137">
        <v>92918.563032147256</v>
      </c>
      <c r="F48" s="106">
        <v>87221.351475076153</v>
      </c>
      <c r="G48" s="104" t="e">
        <v>#VALUE!</v>
      </c>
      <c r="H48" s="105">
        <v>102250.45332953089</v>
      </c>
      <c r="I48" s="106">
        <v>107686.12870624289</v>
      </c>
      <c r="J48" s="104">
        <v>84301.016800338824</v>
      </c>
      <c r="K48" s="105">
        <v>126228.14042686725</v>
      </c>
      <c r="L48" s="106">
        <v>78117.967572357404</v>
      </c>
      <c r="M48" s="118">
        <f t="shared" si="0"/>
        <v>92487.871996013404</v>
      </c>
      <c r="N48" s="118">
        <f>AVERAGE(H48:J48)</f>
        <v>98079.199612037526</v>
      </c>
      <c r="O48">
        <f t="shared" si="2"/>
        <v>8.4683009428284453E-2</v>
      </c>
    </row>
    <row r="49" spans="1:15" x14ac:dyDescent="0.2">
      <c r="A49" s="102" t="s">
        <v>64</v>
      </c>
      <c r="B49" s="102" t="s">
        <v>58</v>
      </c>
      <c r="C49" s="103"/>
      <c r="D49" s="104">
        <v>11020.51638670922</v>
      </c>
      <c r="E49" s="137">
        <v>10512.907432045271</v>
      </c>
      <c r="F49" s="106">
        <v>7689.0217109149598</v>
      </c>
      <c r="G49" s="104" t="e">
        <v>#VALUE!</v>
      </c>
      <c r="H49" s="105">
        <v>11811.779024763435</v>
      </c>
      <c r="I49" s="106">
        <v>12412.30583597746</v>
      </c>
      <c r="J49" s="104">
        <v>7347.5088306943635</v>
      </c>
      <c r="K49" s="105">
        <v>15834.884420772636</v>
      </c>
      <c r="L49" s="106">
        <v>9742.064225461203</v>
      </c>
      <c r="M49" s="118">
        <f t="shared" si="0"/>
        <v>9740.8151765564835</v>
      </c>
      <c r="N49" s="118">
        <f>AVERAGE(H49,I49,K49)</f>
        <v>13352.989760504512</v>
      </c>
      <c r="O49">
        <f t="shared" si="2"/>
        <v>0.45504838347851634</v>
      </c>
    </row>
    <row r="50" spans="1:15" x14ac:dyDescent="0.2">
      <c r="A50" s="102" t="s">
        <v>65</v>
      </c>
      <c r="B50" s="102" t="s">
        <v>58</v>
      </c>
      <c r="C50" s="103"/>
      <c r="D50" s="104">
        <v>1485.2966787834914</v>
      </c>
      <c r="E50" s="137">
        <v>1320.0516232951886</v>
      </c>
      <c r="F50" s="106">
        <v>1310.7001103552334</v>
      </c>
      <c r="G50" s="104" t="e">
        <v>#VALUE!</v>
      </c>
      <c r="H50" s="105">
        <v>1389.3005873279794</v>
      </c>
      <c r="I50" s="106">
        <v>1930.9891190664878</v>
      </c>
      <c r="J50" s="104">
        <v>1207.6966984699577</v>
      </c>
      <c r="K50" s="105">
        <v>1885.8132688866094</v>
      </c>
      <c r="L50" s="106">
        <v>1564.348702398614</v>
      </c>
      <c r="M50" s="118">
        <f t="shared" si="0"/>
        <v>1372.0161374779709</v>
      </c>
      <c r="N50" s="118">
        <f>AVERAGE(H50:J50)</f>
        <v>1509.3288016214749</v>
      </c>
      <c r="O50">
        <f t="shared" si="2"/>
        <v>0.13760967540434377</v>
      </c>
    </row>
    <row r="51" spans="1:15" x14ac:dyDescent="0.2">
      <c r="A51" s="102" t="s">
        <v>66</v>
      </c>
      <c r="B51" s="102" t="s">
        <v>58</v>
      </c>
      <c r="C51" s="103"/>
      <c r="D51" s="104" t="e">
        <v>#VALUE!</v>
      </c>
      <c r="E51" s="137" t="e">
        <v>#VALUE!</v>
      </c>
      <c r="F51" s="106" t="e">
        <v>#VALUE!</v>
      </c>
      <c r="G51" s="104" t="e">
        <v>#VALUE!</v>
      </c>
      <c r="H51" s="105" t="e">
        <v>#VALUE!</v>
      </c>
      <c r="I51" s="106" t="e">
        <v>#VALUE!</v>
      </c>
      <c r="J51" s="104" t="e">
        <v>#VALUE!</v>
      </c>
      <c r="K51" s="105" t="e">
        <v>#VALUE!</v>
      </c>
      <c r="L51" s="106" t="e">
        <v>#VALUE!</v>
      </c>
      <c r="M51" s="118" t="e">
        <f t="shared" si="0"/>
        <v>#VALUE!</v>
      </c>
      <c r="N51" s="118" t="e">
        <f>AVERAGE(G51:I51)</f>
        <v>#VALUE!</v>
      </c>
      <c r="O51" t="e">
        <f t="shared" si="2"/>
        <v>#VALUE!</v>
      </c>
    </row>
    <row r="52" spans="1:15" x14ac:dyDescent="0.2">
      <c r="A52" s="102" t="s">
        <v>67</v>
      </c>
      <c r="B52" s="102" t="s">
        <v>58</v>
      </c>
      <c r="C52" s="103"/>
      <c r="D52" s="104">
        <v>97016.552918529807</v>
      </c>
      <c r="E52" s="137">
        <v>88895.600024504703</v>
      </c>
      <c r="F52" s="106">
        <v>59119.144298953106</v>
      </c>
      <c r="G52" s="104">
        <v>509.94204628089858</v>
      </c>
      <c r="H52" s="105">
        <v>65338.496210738223</v>
      </c>
      <c r="I52" s="106">
        <v>65229.545895258481</v>
      </c>
      <c r="J52" s="104">
        <v>51767.983433632457</v>
      </c>
      <c r="K52" s="105">
        <v>108105.21913415717</v>
      </c>
      <c r="L52" s="106">
        <v>68678.821332239168</v>
      </c>
      <c r="M52" s="118">
        <f t="shared" si="0"/>
        <v>81677.099080662534</v>
      </c>
      <c r="N52" s="118">
        <f t="shared" si="1"/>
        <v>43692.661384092535</v>
      </c>
      <c r="O52">
        <f t="shared" si="2"/>
        <v>-0.90254064190556971</v>
      </c>
    </row>
    <row r="53" spans="1:15" x14ac:dyDescent="0.2">
      <c r="A53" s="107" t="s">
        <v>68</v>
      </c>
      <c r="B53" s="107" t="s">
        <v>69</v>
      </c>
      <c r="C53" s="108"/>
      <c r="D53" s="109">
        <v>27487.466188810686</v>
      </c>
      <c r="E53" s="138">
        <v>26000.109438076608</v>
      </c>
      <c r="F53" s="111">
        <v>26260.260273741111</v>
      </c>
      <c r="G53" s="109" t="e">
        <v>#VALUE!</v>
      </c>
      <c r="H53" s="110">
        <v>22417.958141146639</v>
      </c>
      <c r="I53" s="111">
        <v>20973.614080016647</v>
      </c>
      <c r="J53" s="109">
        <v>23894.635674073739</v>
      </c>
      <c r="K53" s="110">
        <v>29222.187256303871</v>
      </c>
      <c r="L53" s="111">
        <v>29994.145948490899</v>
      </c>
      <c r="M53" s="118">
        <f t="shared" si="0"/>
        <v>26582.611966876135</v>
      </c>
      <c r="N53" s="118">
        <f>AVERAGE(H53:J53)</f>
        <v>22428.735965079006</v>
      </c>
      <c r="O53">
        <f t="shared" si="2"/>
        <v>-0.24513455304023468</v>
      </c>
    </row>
    <row r="54" spans="1:15" x14ac:dyDescent="0.2">
      <c r="A54" s="112" t="s">
        <v>70</v>
      </c>
      <c r="B54" s="112" t="s">
        <v>69</v>
      </c>
      <c r="C54" s="113"/>
      <c r="D54" s="114">
        <v>26447.618181883638</v>
      </c>
      <c r="E54" s="139">
        <v>28059.981577143732</v>
      </c>
      <c r="F54" s="116">
        <v>24122.188757364973</v>
      </c>
      <c r="G54" s="114">
        <v>2133.2419192518519</v>
      </c>
      <c r="H54" s="115">
        <v>19717.662352563952</v>
      </c>
      <c r="I54" s="116">
        <v>22189.876548645272</v>
      </c>
      <c r="J54" s="114">
        <v>19796.200485445726</v>
      </c>
      <c r="K54" s="115">
        <v>37271.731001936831</v>
      </c>
      <c r="L54" s="116">
        <v>25784.881550533351</v>
      </c>
      <c r="M54" s="118">
        <f t="shared" si="0"/>
        <v>26209.929505464115</v>
      </c>
      <c r="N54" s="118">
        <f t="shared" si="1"/>
        <v>14680.260273487025</v>
      </c>
      <c r="O54">
        <f t="shared" si="2"/>
        <v>-0.83623592673075664</v>
      </c>
    </row>
    <row r="55" spans="1:15" x14ac:dyDescent="0.2">
      <c r="A55" s="112" t="s">
        <v>71</v>
      </c>
      <c r="B55" s="112" t="s">
        <v>69</v>
      </c>
      <c r="C55" s="113"/>
      <c r="D55" s="114">
        <v>12825.329674834196</v>
      </c>
      <c r="E55" s="139">
        <v>11722.13294799219</v>
      </c>
      <c r="F55" s="116">
        <v>11315.709320898697</v>
      </c>
      <c r="G55" s="114" t="e">
        <v>#VALUE!</v>
      </c>
      <c r="H55" s="115">
        <v>9930.512669244521</v>
      </c>
      <c r="I55" s="116">
        <v>10454.085735464334</v>
      </c>
      <c r="J55" s="114">
        <v>10171.209434733217</v>
      </c>
      <c r="K55" s="115">
        <v>16399.097142814007</v>
      </c>
      <c r="L55" s="116">
        <v>11216.136077674408</v>
      </c>
      <c r="M55" s="118">
        <f t="shared" si="0"/>
        <v>11954.390647908362</v>
      </c>
      <c r="N55" s="118">
        <f>AVERAGE(H55:J55)</f>
        <v>10185.269279814025</v>
      </c>
      <c r="O55">
        <f t="shared" si="2"/>
        <v>-0.23105647030098755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18BA-FB39-604C-AA85-A2568C5CD9B7}">
  <dimension ref="A1:C54"/>
  <sheetViews>
    <sheetView zoomScale="75" workbookViewId="0">
      <selection activeCell="D3" sqref="D3"/>
    </sheetView>
  </sheetViews>
  <sheetFormatPr baseColWidth="10" defaultRowHeight="16" x14ac:dyDescent="0.2"/>
  <cols>
    <col min="2" max="3" width="10.83203125" style="140"/>
  </cols>
  <sheetData>
    <row r="1" spans="1:3" x14ac:dyDescent="0.2">
      <c r="B1" s="140" t="s">
        <v>82</v>
      </c>
      <c r="C1" s="140" t="s">
        <v>83</v>
      </c>
    </row>
    <row r="2" spans="1:3" x14ac:dyDescent="0.2">
      <c r="A2" s="11" t="s">
        <v>9</v>
      </c>
      <c r="B2" s="140" t="s">
        <v>74</v>
      </c>
      <c r="C2" s="140" t="s">
        <v>81</v>
      </c>
    </row>
    <row r="3" spans="1:3" x14ac:dyDescent="0.2">
      <c r="A3" s="12" t="s">
        <v>18</v>
      </c>
      <c r="B3" s="140">
        <v>-0.51930968712763892</v>
      </c>
      <c r="C3" s="140">
        <v>-0.67279608325945106</v>
      </c>
    </row>
    <row r="4" spans="1:3" x14ac:dyDescent="0.2">
      <c r="A4" s="12" t="s">
        <v>20</v>
      </c>
      <c r="B4" s="140">
        <v>-0.55363598868511266</v>
      </c>
      <c r="C4" s="140">
        <v>-0.7234751147535442</v>
      </c>
    </row>
    <row r="5" spans="1:3" x14ac:dyDescent="0.2">
      <c r="A5" s="12" t="s">
        <v>21</v>
      </c>
      <c r="B5" s="140">
        <v>-2.5601434606360462E-3</v>
      </c>
      <c r="C5" s="140">
        <v>-1.1567115706083289</v>
      </c>
    </row>
    <row r="6" spans="1:3" x14ac:dyDescent="0.2">
      <c r="A6" s="12" t="s">
        <v>22</v>
      </c>
      <c r="B6" s="140">
        <v>4.9820668548690807E-2</v>
      </c>
      <c r="C6" s="140">
        <v>-0.63808571560867411</v>
      </c>
    </row>
    <row r="7" spans="1:3" x14ac:dyDescent="0.2">
      <c r="A7" s="12" t="s">
        <v>23</v>
      </c>
      <c r="B7" s="140">
        <v>-9.3259084976687029E-2</v>
      </c>
      <c r="C7" s="140">
        <v>-0.63215787298064496</v>
      </c>
    </row>
    <row r="8" spans="1:3" x14ac:dyDescent="0.2">
      <c r="A8" s="12" t="s">
        <v>24</v>
      </c>
      <c r="B8" s="140">
        <v>-0.45721313911282613</v>
      </c>
      <c r="C8" s="140">
        <v>-0.53220235279333306</v>
      </c>
    </row>
    <row r="9" spans="1:3" x14ac:dyDescent="0.2">
      <c r="A9" s="12" t="s">
        <v>25</v>
      </c>
      <c r="B9" s="140">
        <v>-0.19786291590251479</v>
      </c>
      <c r="C9" s="140">
        <v>-0.77183884419644222</v>
      </c>
    </row>
    <row r="10" spans="1:3" x14ac:dyDescent="0.2">
      <c r="A10" s="12" t="s">
        <v>26</v>
      </c>
      <c r="B10" s="140">
        <v>-0.56895327722788436</v>
      </c>
      <c r="C10" s="140">
        <v>-0.22415910123320981</v>
      </c>
    </row>
    <row r="11" spans="1:3" x14ac:dyDescent="0.2">
      <c r="A11" s="12" t="s">
        <v>27</v>
      </c>
      <c r="B11" s="140">
        <v>-0.68811023245842529</v>
      </c>
      <c r="C11" s="140">
        <v>-0.61379654970910291</v>
      </c>
    </row>
    <row r="12" spans="1:3" x14ac:dyDescent="0.2">
      <c r="A12" s="12" t="s">
        <v>28</v>
      </c>
      <c r="B12" s="140">
        <v>-0.59920623982191246</v>
      </c>
      <c r="C12" s="140">
        <v>-0.74997109380958682</v>
      </c>
    </row>
    <row r="13" spans="1:3" x14ac:dyDescent="0.2">
      <c r="A13" s="12" t="s">
        <v>29</v>
      </c>
      <c r="B13" s="140">
        <v>-0.67327664954525746</v>
      </c>
      <c r="C13" s="140">
        <v>-0.66681907334516588</v>
      </c>
    </row>
    <row r="14" spans="1:3" x14ac:dyDescent="0.2">
      <c r="A14" s="12" t="s">
        <v>30</v>
      </c>
      <c r="B14" s="140">
        <v>-0.73201577277767005</v>
      </c>
      <c r="C14" s="140">
        <v>-0.70512705175506207</v>
      </c>
    </row>
    <row r="15" spans="1:3" x14ac:dyDescent="0.2">
      <c r="A15" s="12" t="s">
        <v>31</v>
      </c>
      <c r="B15" s="140">
        <v>-0.57144183488064149</v>
      </c>
      <c r="C15" s="140">
        <v>-0.64816757224281107</v>
      </c>
    </row>
    <row r="16" spans="1:3" x14ac:dyDescent="0.2">
      <c r="A16" s="12" t="s">
        <v>32</v>
      </c>
      <c r="B16" s="140">
        <v>0.24357462655893403</v>
      </c>
      <c r="C16" s="140">
        <v>-0.45657677902525817</v>
      </c>
    </row>
    <row r="17" spans="1:3" x14ac:dyDescent="0.2">
      <c r="A17" s="12" t="s">
        <v>33</v>
      </c>
      <c r="B17" s="140">
        <v>-0.45618996378428006</v>
      </c>
      <c r="C17" s="140">
        <v>-1.1160650911090262</v>
      </c>
    </row>
    <row r="18" spans="1:3" x14ac:dyDescent="0.2">
      <c r="A18" s="12" t="s">
        <v>34</v>
      </c>
      <c r="B18" s="140">
        <v>-0.57403408956479984</v>
      </c>
      <c r="C18" s="140">
        <v>-0.90838543603302657</v>
      </c>
    </row>
    <row r="19" spans="1:3" x14ac:dyDescent="0.2">
      <c r="A19" s="12" t="s">
        <v>35</v>
      </c>
      <c r="B19" s="140">
        <v>-0.52264970354811169</v>
      </c>
      <c r="C19" s="140">
        <v>-0.73316100517594629</v>
      </c>
    </row>
    <row r="20" spans="1:3" x14ac:dyDescent="0.2">
      <c r="A20" s="12" t="s">
        <v>36</v>
      </c>
      <c r="B20" s="140">
        <v>-0.53718706074559142</v>
      </c>
      <c r="C20" s="140">
        <v>-0.63966391712268744</v>
      </c>
    </row>
    <row r="21" spans="1:3" x14ac:dyDescent="0.2">
      <c r="A21" s="17" t="s">
        <v>37</v>
      </c>
      <c r="B21" s="140" t="e">
        <v>#VALUE!</v>
      </c>
      <c r="C21" s="140" t="e">
        <v>#VALUE!</v>
      </c>
    </row>
    <row r="22" spans="1:3" x14ac:dyDescent="0.2">
      <c r="A22" s="22" t="s">
        <v>38</v>
      </c>
      <c r="B22" s="140">
        <v>0.8087402467576178</v>
      </c>
      <c r="C22" s="140">
        <v>-0.20778901986212667</v>
      </c>
    </row>
    <row r="23" spans="1:3" x14ac:dyDescent="0.2">
      <c r="A23" s="27" t="s">
        <v>40</v>
      </c>
      <c r="B23" s="140">
        <v>4.9518006627407879E-2</v>
      </c>
      <c r="C23" s="140">
        <v>0.10072372791041025</v>
      </c>
    </row>
    <row r="24" spans="1:3" x14ac:dyDescent="0.2">
      <c r="A24" s="32" t="s">
        <v>41</v>
      </c>
      <c r="B24" s="140">
        <v>0.43964969215945615</v>
      </c>
      <c r="C24" s="140">
        <v>-6.5670534266818528E-2</v>
      </c>
    </row>
    <row r="25" spans="1:3" x14ac:dyDescent="0.2">
      <c r="A25" s="37" t="s">
        <v>42</v>
      </c>
      <c r="B25" s="140">
        <v>0.27972161943975232</v>
      </c>
      <c r="C25" s="140">
        <v>-0.61007090827665789</v>
      </c>
    </row>
    <row r="26" spans="1:3" x14ac:dyDescent="0.2">
      <c r="A26" s="42" t="s">
        <v>44</v>
      </c>
      <c r="B26" s="140">
        <v>-0.12380582367872182</v>
      </c>
      <c r="C26" s="140">
        <v>-0.43618942385373921</v>
      </c>
    </row>
    <row r="27" spans="1:3" x14ac:dyDescent="0.2">
      <c r="A27" s="42" t="s">
        <v>0</v>
      </c>
      <c r="B27" s="140">
        <v>0.71734948321479097</v>
      </c>
      <c r="C27" s="140">
        <v>-0.21941299153151889</v>
      </c>
    </row>
    <row r="28" spans="1:3" x14ac:dyDescent="0.2">
      <c r="A28" s="42" t="s">
        <v>3</v>
      </c>
      <c r="B28" s="140">
        <v>-0.55504372101995048</v>
      </c>
      <c r="C28" s="140">
        <v>-0.74967274172450049</v>
      </c>
    </row>
    <row r="29" spans="1:3" x14ac:dyDescent="0.2">
      <c r="A29" s="42" t="s">
        <v>1</v>
      </c>
      <c r="B29" s="140">
        <v>0.49637835375868766</v>
      </c>
      <c r="C29" s="140">
        <v>0.17713373119406611</v>
      </c>
    </row>
    <row r="30" spans="1:3" x14ac:dyDescent="0.2">
      <c r="A30" s="47" t="s">
        <v>2</v>
      </c>
      <c r="B30" s="140">
        <v>-0.51853085378411923</v>
      </c>
      <c r="C30" s="140">
        <v>-0.88784589217385523</v>
      </c>
    </row>
    <row r="31" spans="1:3" x14ac:dyDescent="0.2">
      <c r="A31" s="52" t="s">
        <v>45</v>
      </c>
      <c r="B31" s="140">
        <v>-0.59053197493978038</v>
      </c>
      <c r="C31" s="140">
        <v>-1.3679781980780179</v>
      </c>
    </row>
    <row r="32" spans="1:3" x14ac:dyDescent="0.2">
      <c r="A32" s="57" t="s">
        <v>47</v>
      </c>
      <c r="B32" s="140">
        <v>-0.77330158997492859</v>
      </c>
      <c r="C32" s="140">
        <v>-0.44165179597850374</v>
      </c>
    </row>
    <row r="33" spans="1:3" x14ac:dyDescent="0.2">
      <c r="A33" s="62" t="s">
        <v>49</v>
      </c>
      <c r="B33" s="140">
        <v>0.38111945361340532</v>
      </c>
      <c r="C33" s="140">
        <v>0.15471383725338494</v>
      </c>
    </row>
    <row r="34" spans="1:3" x14ac:dyDescent="0.2">
      <c r="A34" s="62" t="s">
        <v>50</v>
      </c>
      <c r="B34" s="140">
        <v>0.19580150878876754</v>
      </c>
      <c r="C34" s="140">
        <v>-1.3427784340142664E-2</v>
      </c>
    </row>
    <row r="35" spans="1:3" x14ac:dyDescent="0.2">
      <c r="A35" s="72" t="s">
        <v>4</v>
      </c>
      <c r="B35" s="140">
        <v>0.75694423778515529</v>
      </c>
      <c r="C35" s="140">
        <v>0.36095767526392408</v>
      </c>
    </row>
    <row r="36" spans="1:3" x14ac:dyDescent="0.2">
      <c r="A36" s="77" t="s">
        <v>5</v>
      </c>
      <c r="B36" s="140">
        <v>2.5059929053272985</v>
      </c>
      <c r="C36" s="140" t="e">
        <v>#VALUE!</v>
      </c>
    </row>
    <row r="37" spans="1:3" x14ac:dyDescent="0.2">
      <c r="A37" s="82" t="s">
        <v>6</v>
      </c>
      <c r="B37" s="140">
        <v>1.5352942365748365</v>
      </c>
      <c r="C37" s="140">
        <v>0.17101550435406493</v>
      </c>
    </row>
    <row r="38" spans="1:3" x14ac:dyDescent="0.2">
      <c r="A38" s="87" t="s">
        <v>52</v>
      </c>
      <c r="B38" s="140">
        <v>0.42735020051222627</v>
      </c>
      <c r="C38" s="140">
        <v>-0.57794387440018602</v>
      </c>
    </row>
    <row r="39" spans="1:3" x14ac:dyDescent="0.2">
      <c r="A39" s="92" t="s">
        <v>54</v>
      </c>
      <c r="B39" s="140">
        <v>3.5751515364991125E-2</v>
      </c>
      <c r="C39" s="140">
        <v>-0.23413500365642401</v>
      </c>
    </row>
    <row r="40" spans="1:3" x14ac:dyDescent="0.2">
      <c r="A40" s="92" t="s">
        <v>55</v>
      </c>
      <c r="B40" s="140">
        <v>0.35593763263191136</v>
      </c>
      <c r="C40" s="140">
        <v>-0.47648399415265164</v>
      </c>
    </row>
    <row r="41" spans="1:3" x14ac:dyDescent="0.2">
      <c r="A41" s="97" t="s">
        <v>56</v>
      </c>
      <c r="B41" s="140">
        <v>-0.70072959857389816</v>
      </c>
      <c r="C41" s="140">
        <v>-0.32673175489642287</v>
      </c>
    </row>
    <row r="42" spans="1:3" x14ac:dyDescent="0.2">
      <c r="A42" s="102" t="s">
        <v>57</v>
      </c>
      <c r="B42" s="140">
        <v>0.16988338155542604</v>
      </c>
      <c r="C42" s="140">
        <v>-0.22150970600466449</v>
      </c>
    </row>
    <row r="43" spans="1:3" x14ac:dyDescent="0.2">
      <c r="A43" s="102" t="s">
        <v>59</v>
      </c>
      <c r="B43" s="140">
        <v>-0.71878055469138014</v>
      </c>
      <c r="C43" s="140">
        <v>-0.92438300993889644</v>
      </c>
    </row>
    <row r="44" spans="1:3" x14ac:dyDescent="0.2">
      <c r="A44" s="102" t="s">
        <v>60</v>
      </c>
      <c r="B44" s="140" t="e">
        <v>#VALUE!</v>
      </c>
      <c r="C44" s="140">
        <v>5.8171010411700808E-2</v>
      </c>
    </row>
    <row r="45" spans="1:3" x14ac:dyDescent="0.2">
      <c r="A45" s="102" t="s">
        <v>61</v>
      </c>
      <c r="B45" s="140">
        <v>-0.16667644164978851</v>
      </c>
      <c r="C45" s="140">
        <v>-0.87286752703652781</v>
      </c>
    </row>
    <row r="46" spans="1:3" x14ac:dyDescent="0.2">
      <c r="A46" s="102" t="s">
        <v>62</v>
      </c>
      <c r="B46" s="140">
        <v>0.41973786303617561</v>
      </c>
      <c r="C46" s="140">
        <v>-7.105613113698675E-2</v>
      </c>
    </row>
    <row r="47" spans="1:3" x14ac:dyDescent="0.2">
      <c r="A47" s="102" t="s">
        <v>63</v>
      </c>
      <c r="B47" s="140">
        <v>4.7809322296701637E-2</v>
      </c>
      <c r="C47" s="140">
        <v>8.4683009428284453E-2</v>
      </c>
    </row>
    <row r="48" spans="1:3" x14ac:dyDescent="0.2">
      <c r="A48" s="102" t="s">
        <v>64</v>
      </c>
      <c r="B48" s="140">
        <v>0.5834857518027845</v>
      </c>
      <c r="C48" s="140">
        <v>0.45504838347851634</v>
      </c>
    </row>
    <row r="49" spans="1:3" x14ac:dyDescent="0.2">
      <c r="A49" s="102" t="s">
        <v>65</v>
      </c>
      <c r="B49" s="140">
        <v>1.0173897469079511</v>
      </c>
      <c r="C49" s="140">
        <v>0.13760967540434377</v>
      </c>
    </row>
    <row r="50" spans="1:3" x14ac:dyDescent="0.2">
      <c r="A50" s="102" t="s">
        <v>66</v>
      </c>
      <c r="B50" s="140" t="e">
        <v>#VALUE!</v>
      </c>
      <c r="C50" s="140" t="e">
        <v>#VALUE!</v>
      </c>
    </row>
    <row r="51" spans="1:3" x14ac:dyDescent="0.2">
      <c r="A51" s="102" t="s">
        <v>67</v>
      </c>
      <c r="B51" s="140">
        <v>-0.51570413391510972</v>
      </c>
      <c r="C51" s="140">
        <v>-0.90254064190556971</v>
      </c>
    </row>
    <row r="52" spans="1:3" x14ac:dyDescent="0.2">
      <c r="A52" s="107" t="s">
        <v>68</v>
      </c>
      <c r="B52" s="140">
        <v>-0.59095846775545136</v>
      </c>
      <c r="C52" s="140">
        <v>-0.24513455304023468</v>
      </c>
    </row>
    <row r="53" spans="1:3" x14ac:dyDescent="0.2">
      <c r="A53" s="112" t="s">
        <v>70</v>
      </c>
      <c r="B53" s="140">
        <v>-0.54392101011911853</v>
      </c>
      <c r="C53" s="140">
        <v>-0.83623592673075664</v>
      </c>
    </row>
    <row r="54" spans="1:3" x14ac:dyDescent="0.2">
      <c r="A54" s="112" t="s">
        <v>71</v>
      </c>
      <c r="B54" s="140">
        <v>-0.28217790972233137</v>
      </c>
      <c r="C54" s="140">
        <v>-0.23105647030098755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HUh7</vt:lpstr>
      <vt:lpstr>769-P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Pecorari</dc:creator>
  <cp:lastModifiedBy>Chiara Pecorari</cp:lastModifiedBy>
  <dcterms:created xsi:type="dcterms:W3CDTF">2025-07-16T07:17:58Z</dcterms:created>
  <dcterms:modified xsi:type="dcterms:W3CDTF">2025-07-16T15:39:51Z</dcterms:modified>
</cp:coreProperties>
</file>