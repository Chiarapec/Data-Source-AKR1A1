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cerdk365-my.sharepoint.com/personal/chp_cancer_dk/Documents/Pecorari et al/RAW DATA/R graphs/Encode enriched/"/>
    </mc:Choice>
  </mc:AlternateContent>
  <xr:revisionPtr revIDLastSave="11" documentId="13_ncr:1_{68B8EB8E-A9AA-1145-AB98-C179163A0DD4}" xr6:coauthVersionLast="47" xr6:coauthVersionMax="47" xr10:uidLastSave="{02AB0857-6E01-1146-96CF-809B2B64E9AC}"/>
  <bookViews>
    <workbookView xWindow="34820" yWindow="3160" windowWidth="27640" windowHeight="16440" xr2:uid="{92304213-D955-A244-BEF2-466F149A7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<sst xmlns="http://schemas.openxmlformats.org/spreadsheetml/2006/main" count="54" uniqueCount="26">
  <si>
    <t>TF Name</t>
  </si>
  <si>
    <t>p-value</t>
  </si>
  <si>
    <t>Adjusted P-value</t>
  </si>
  <si>
    <t>-LOG(padj,10)</t>
  </si>
  <si>
    <t>NFE2L2 CHEA</t>
  </si>
  <si>
    <t>TP53 CHEA</t>
  </si>
  <si>
    <t>AR CHEA</t>
  </si>
  <si>
    <t>USF1 ENCODE</t>
  </si>
  <si>
    <t>SMC3 ENCODE</t>
  </si>
  <si>
    <t>CTCF ENCODE</t>
  </si>
  <si>
    <t>SMAD4 CHEA</t>
  </si>
  <si>
    <t>ESR1 CHEA</t>
  </si>
  <si>
    <t>GATA1 CHEA</t>
  </si>
  <si>
    <t>TCF3 ENCODE</t>
  </si>
  <si>
    <t>FOXA1 ENCODE</t>
  </si>
  <si>
    <t>TCF3 CHEA</t>
  </si>
  <si>
    <t>gene count</t>
  </si>
  <si>
    <t>Cell line</t>
  </si>
  <si>
    <t>769-P</t>
  </si>
  <si>
    <t>SOX2 CHEA</t>
  </si>
  <si>
    <t>UBTF ENCODE</t>
  </si>
  <si>
    <t>SALL4 CHEA</t>
  </si>
  <si>
    <t>GATA2 CHEA</t>
  </si>
  <si>
    <t>FOXA2 ENCODE</t>
  </si>
  <si>
    <t>TP63 CHEA</t>
  </si>
  <si>
    <t>HuH7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</si>
</sst>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DB3D-CE56-A444-B11E-D904478D0114}">
  <dimension ref="A1:F25"/>
  <sheetViews>
    <sheetView tabSelected="1" zoomScale="125" workbookViewId="0">
      <selection activeCell="F25" sqref="F25"/>
    </sheetView>
  </sheetViews>
  <sheetFormatPr baseColWidth="10" defaultRowHeight="16" x14ac:dyDescent="0.2"/>
  <cols>
    <col min="1" max="1" width="14.1640625" bestFit="1" customWidth="1"/>
    <col min="3" max="3" width="14.5" bestFit="1" customWidth="1"/>
    <col min="4" max="4" width="12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16</v>
      </c>
      <c r="F1" s="1" t="s">
        <v>17</v>
      </c>
    </row>
    <row r="2" spans="1:6" x14ac:dyDescent="0.2">
      <c r="A2" t="s">
        <v>4</v>
      </c>
      <c r="B2" s="3">
        <v>2.4599999999999998E-10</v>
      </c>
      <c r="C2" s="3">
        <v>2.55E-8</v>
      </c>
      <c r="D2">
        <f>-LOG(C2,10)</f>
        <v>7.5934598195660445</v>
      </c>
      <c r="E2">
        <v>155</v>
      </c>
      <c r="F2" t="s">
        <v>18</v>
      </c>
    </row>
    <row r="3" spans="1:6" x14ac:dyDescent="0.2">
      <c r="A3" t="s">
        <v>5</v>
      </c>
      <c r="B3" s="3">
        <v>1.9099999999999998E-9</v>
      </c>
      <c r="C3" s="3">
        <v>9.9600000000000005E-8</v>
      </c>
      <c r="D3">
        <f t="shared" ref="D3:D25" si="0">-LOG(C3,10)</f>
        <v>7.0017406615763012</v>
      </c>
      <c r="E3">
        <v>64</v>
      </c>
      <c r="F3" t="s">
        <v>18</v>
      </c>
    </row>
    <row r="4" spans="1:6" x14ac:dyDescent="0.2">
      <c r="A4" t="s">
        <v>6</v>
      </c>
      <c r="B4" s="3">
        <v>1.49E-7</v>
      </c>
      <c r="C4" s="3">
        <v>5.1699999999999996E-6</v>
      </c>
      <c r="D4">
        <f t="shared" si="0"/>
        <v>5.2865094569060576</v>
      </c>
      <c r="E4">
        <v>152</v>
      </c>
      <c r="F4" t="s">
        <v>18</v>
      </c>
    </row>
    <row r="5" spans="1:6" x14ac:dyDescent="0.2">
      <c r="A5" t="s">
        <v>7</v>
      </c>
      <c r="B5" s="3">
        <v>8.0600000000000008E-6</v>
      </c>
      <c r="C5" s="3">
        <v>2.1000000000000001E-4</v>
      </c>
      <c r="D5">
        <f t="shared" si="0"/>
        <v>3.6777807052660805</v>
      </c>
      <c r="E5">
        <v>179</v>
      </c>
      <c r="F5" t="s">
        <v>18</v>
      </c>
    </row>
    <row r="6" spans="1:6" x14ac:dyDescent="0.2">
      <c r="A6" t="s">
        <v>8</v>
      </c>
      <c r="B6" s="3">
        <v>6.0999999999999999E-5</v>
      </c>
      <c r="C6">
        <v>1.269736E-3</v>
      </c>
      <c r="D6">
        <f t="shared" si="0"/>
        <v>2.8962865669665949</v>
      </c>
      <c r="E6">
        <v>148</v>
      </c>
      <c r="F6" t="s">
        <v>18</v>
      </c>
    </row>
    <row r="7" spans="1:6" x14ac:dyDescent="0.2">
      <c r="A7" t="s">
        <v>9</v>
      </c>
      <c r="B7" s="3">
        <v>1.11E-4</v>
      </c>
      <c r="C7">
        <v>1.907429E-3</v>
      </c>
      <c r="D7">
        <f t="shared" si="0"/>
        <v>2.7195516187634303</v>
      </c>
      <c r="E7">
        <v>210</v>
      </c>
      <c r="F7" t="s">
        <v>18</v>
      </c>
    </row>
    <row r="8" spans="1:6" x14ac:dyDescent="0.2">
      <c r="A8" t="s">
        <v>10</v>
      </c>
      <c r="B8" s="3">
        <v>1.2799999999999999E-4</v>
      </c>
      <c r="C8">
        <v>1.907429E-3</v>
      </c>
      <c r="D8">
        <f t="shared" si="0"/>
        <v>2.7195516187634303</v>
      </c>
      <c r="E8">
        <v>81</v>
      </c>
      <c r="F8" t="s">
        <v>18</v>
      </c>
    </row>
    <row r="9" spans="1:6" x14ac:dyDescent="0.2">
      <c r="A9" t="s">
        <v>11</v>
      </c>
      <c r="B9" s="3">
        <v>1.5699999999999999E-4</v>
      </c>
      <c r="C9">
        <v>2.0469749999999999E-3</v>
      </c>
      <c r="D9">
        <f t="shared" si="0"/>
        <v>2.6888874614060572</v>
      </c>
      <c r="E9">
        <v>29</v>
      </c>
      <c r="F9" t="s">
        <v>18</v>
      </c>
    </row>
    <row r="10" spans="1:6" x14ac:dyDescent="0.2">
      <c r="A10" t="s">
        <v>12</v>
      </c>
      <c r="B10" s="3">
        <v>1.8100000000000001E-4</v>
      </c>
      <c r="C10">
        <v>2.0880550000000001E-3</v>
      </c>
      <c r="D10">
        <f t="shared" si="0"/>
        <v>2.6802580660711559</v>
      </c>
      <c r="E10">
        <v>105</v>
      </c>
      <c r="F10" t="s">
        <v>18</v>
      </c>
    </row>
    <row r="11" spans="1:6" x14ac:dyDescent="0.2">
      <c r="A11" t="s">
        <v>13</v>
      </c>
      <c r="B11" s="3">
        <v>2.32E-4</v>
      </c>
      <c r="C11">
        <v>2.411949E-3</v>
      </c>
      <c r="D11">
        <f t="shared" si="0"/>
        <v>2.6176318794724924</v>
      </c>
      <c r="E11">
        <v>108</v>
      </c>
      <c r="F11" t="s">
        <v>18</v>
      </c>
    </row>
    <row r="12" spans="1:6" x14ac:dyDescent="0.2">
      <c r="A12" t="s">
        <v>14</v>
      </c>
      <c r="B12" s="3">
        <v>5.5400000000000002E-4</v>
      </c>
      <c r="C12">
        <v>5.2377140000000001E-3</v>
      </c>
      <c r="D12">
        <f t="shared" si="0"/>
        <v>2.28085821946804</v>
      </c>
      <c r="E12">
        <v>34</v>
      </c>
      <c r="F12" t="s">
        <v>18</v>
      </c>
    </row>
    <row r="13" spans="1:6" x14ac:dyDescent="0.2">
      <c r="A13" t="s">
        <v>15</v>
      </c>
      <c r="B13" s="3">
        <v>6.7299999999999999E-4</v>
      </c>
      <c r="C13">
        <v>5.830839E-3</v>
      </c>
      <c r="D13">
        <f t="shared" si="0"/>
        <v>2.2342689500687354</v>
      </c>
      <c r="E13">
        <v>123</v>
      </c>
      <c r="F13" t="s">
        <v>18</v>
      </c>
    </row>
    <row r="14" spans="1:6" x14ac:dyDescent="0.2">
      <c r="A14" t="s">
        <v>19</v>
      </c>
      <c r="B14" s="3">
        <v>1.8261738425123599E-20</v>
      </c>
      <c r="C14" s="3">
        <v>1.8992207962128502E-18</v>
      </c>
      <c r="D14">
        <f t="shared" si="0"/>
        <v>17.72142454289715</v>
      </c>
      <c r="E14">
        <v>120</v>
      </c>
      <c r="F14" t="s">
        <v>25</v>
      </c>
    </row>
    <row r="15" spans="1:6" x14ac:dyDescent="0.2">
      <c r="A15" t="s">
        <v>4</v>
      </c>
      <c r="B15" s="3">
        <v>1.2427659946355901E-19</v>
      </c>
      <c r="C15" s="3">
        <v>6.4623831721050698E-18</v>
      </c>
      <c r="D15">
        <f t="shared" si="0"/>
        <v>17.189607295065304</v>
      </c>
      <c r="E15">
        <v>142</v>
      </c>
      <c r="F15" t="s">
        <v>25</v>
      </c>
    </row>
    <row r="16" spans="1:6" x14ac:dyDescent="0.2">
      <c r="A16" t="s">
        <v>10</v>
      </c>
      <c r="B16" s="3">
        <v>8.3326100171308801E-19</v>
      </c>
      <c r="C16" s="3">
        <v>2.8886381392720398E-17</v>
      </c>
      <c r="D16">
        <f t="shared" si="0"/>
        <v>16.539306858972811</v>
      </c>
      <c r="E16">
        <v>97</v>
      </c>
      <c r="F16" t="s">
        <v>25</v>
      </c>
    </row>
    <row r="17" spans="1:6" x14ac:dyDescent="0.2">
      <c r="A17" t="s">
        <v>15</v>
      </c>
      <c r="B17" s="3">
        <v>2.13815664918013E-17</v>
      </c>
      <c r="C17" s="3">
        <v>5.5592072878683402E-16</v>
      </c>
      <c r="D17">
        <f t="shared" si="0"/>
        <v>15.254987131987884</v>
      </c>
      <c r="E17">
        <v>135</v>
      </c>
      <c r="F17" t="s">
        <v>25</v>
      </c>
    </row>
    <row r="18" spans="1:6" x14ac:dyDescent="0.2">
      <c r="A18" t="s">
        <v>12</v>
      </c>
      <c r="B18" s="3">
        <v>8.6343674041997199E-15</v>
      </c>
      <c r="C18" s="3">
        <v>1.79594842007354E-13</v>
      </c>
      <c r="D18">
        <f t="shared" si="0"/>
        <v>12.745706140496727</v>
      </c>
      <c r="E18">
        <v>110</v>
      </c>
      <c r="F18" t="s">
        <v>25</v>
      </c>
    </row>
    <row r="19" spans="1:6" x14ac:dyDescent="0.2">
      <c r="A19" t="s">
        <v>6</v>
      </c>
      <c r="B19" s="3">
        <v>4.6342974985451002E-14</v>
      </c>
      <c r="C19" s="3">
        <v>8.0327823308115096E-13</v>
      </c>
      <c r="D19">
        <f t="shared" si="0"/>
        <v>12.095134001218872</v>
      </c>
      <c r="E19">
        <v>134</v>
      </c>
      <c r="F19" t="s">
        <v>25</v>
      </c>
    </row>
    <row r="20" spans="1:6" x14ac:dyDescent="0.2">
      <c r="A20" t="s">
        <v>20</v>
      </c>
      <c r="B20" s="3">
        <v>4.1707894368603398E-13</v>
      </c>
      <c r="C20" s="3">
        <v>6.19660144904965E-12</v>
      </c>
      <c r="D20">
        <f t="shared" si="0"/>
        <v>11.207846435760066</v>
      </c>
      <c r="E20">
        <v>176</v>
      </c>
      <c r="F20" t="s">
        <v>25</v>
      </c>
    </row>
    <row r="21" spans="1:6" x14ac:dyDescent="0.2">
      <c r="A21" t="s">
        <v>21</v>
      </c>
      <c r="B21" s="3">
        <v>1.9765502021332201E-11</v>
      </c>
      <c r="C21" s="3">
        <v>2.5695152627731798E-10</v>
      </c>
      <c r="D21">
        <f t="shared" si="0"/>
        <v>9.590148798286851</v>
      </c>
      <c r="E21">
        <v>58</v>
      </c>
      <c r="F21" t="s">
        <v>25</v>
      </c>
    </row>
    <row r="22" spans="1:6" x14ac:dyDescent="0.2">
      <c r="A22" t="s">
        <v>22</v>
      </c>
      <c r="B22" s="3">
        <v>4.3227096539601398E-11</v>
      </c>
      <c r="C22" s="3">
        <v>4.9951311556872801E-10</v>
      </c>
      <c r="D22">
        <f t="shared" si="0"/>
        <v>9.3014531041460149</v>
      </c>
      <c r="E22">
        <v>97</v>
      </c>
      <c r="F22" t="s">
        <v>25</v>
      </c>
    </row>
    <row r="23" spans="1:6" x14ac:dyDescent="0.2">
      <c r="A23" t="s">
        <v>23</v>
      </c>
      <c r="B23" s="3">
        <v>5.3780554961727799E-11</v>
      </c>
      <c r="C23" s="3">
        <v>5.5931777160196903E-10</v>
      </c>
      <c r="D23">
        <f t="shared" si="0"/>
        <v>9.2523413813045927</v>
      </c>
      <c r="E23">
        <v>53</v>
      </c>
      <c r="F23" t="s">
        <v>25</v>
      </c>
    </row>
    <row r="24" spans="1:6" x14ac:dyDescent="0.2">
      <c r="A24" t="s">
        <v>24</v>
      </c>
      <c r="B24" s="3">
        <v>3.1727124565000302E-10</v>
      </c>
      <c r="C24" s="3">
        <v>2.9996554134182101E-9</v>
      </c>
      <c r="D24">
        <f t="shared" si="0"/>
        <v>8.5229286321624524</v>
      </c>
      <c r="E24">
        <v>147</v>
      </c>
      <c r="F24" t="s">
        <v>25</v>
      </c>
    </row>
    <row r="25" spans="1:6" x14ac:dyDescent="0.2">
      <c r="A25" t="s">
        <v>13</v>
      </c>
      <c r="B25" s="3">
        <v>1.9943015172707802E-9</v>
      </c>
      <c r="C25" s="3">
        <v>1.7283946483013398E-8</v>
      </c>
      <c r="D25">
        <f t="shared" si="0"/>
        <v>7.762357087082397</v>
      </c>
      <c r="E25">
        <v>98</v>
      </c>
      <c r="F25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Pecorari</dc:creator>
  <cp:lastModifiedBy>Chiara Pecorari</cp:lastModifiedBy>
  <dcterms:created xsi:type="dcterms:W3CDTF">2025-07-21T11:38:11Z</dcterms:created>
  <dcterms:modified xsi:type="dcterms:W3CDTF">2025-07-22T06:54:57Z</dcterms:modified>
</cp:coreProperties>
</file>