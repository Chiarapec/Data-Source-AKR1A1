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https://cancerdk365-my.sharepoint.com/personal/chp_cancer_dk/Documents/Pecorari et al/NATURE COMM/Nat communication/REVISION/EXP/Metabolomics C13/C13 metabolomics/"/>
    </mc:Choice>
  </mc:AlternateContent>
  <xr:revisionPtr revIDLastSave="0" documentId="13_ncr:1_{75EA2D26-A877-F848-A9E7-3F4B97913BE3}" xr6:coauthVersionLast="47" xr6:coauthVersionMax="47" xr10:uidLastSave="{00000000-0000-0000-0000-000000000000}"/>
  <bookViews>
    <workbookView xWindow="31880" yWindow="600" windowWidth="35900" windowHeight="19480" tabRatio="773" activeTab="8" xr2:uid="{00000000-000D-0000-FFFF-FFFF00000000}"/>
  </bookViews>
  <sheets>
    <sheet name="Glucose" sheetId="1" r:id="rId1"/>
    <sheet name="GA3P" sheetId="2" r:id="rId2"/>
    <sheet name="DHAP" sheetId="3" r:id="rId3"/>
    <sheet name="PEP" sheetId="4" r:id="rId4"/>
    <sheet name="PYR" sheetId="5" r:id="rId5"/>
    <sheet name="LACTATE" sheetId="6" r:id="rId6"/>
    <sheet name="R5P" sheetId="7" r:id="rId7"/>
    <sheet name="E4P" sheetId="8" r:id="rId8"/>
    <sheet name="S7P" sheetId="9" r:id="rId9"/>
    <sheet name="Prot. Quant.1" sheetId="10" r:id="rId10"/>
    <sheet name="Prot. Quant.2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6" l="1"/>
  <c r="L22" i="11"/>
  <c r="L36" i="11" s="1"/>
  <c r="K22" i="11"/>
  <c r="K36" i="11" s="1"/>
  <c r="E70" i="11" s="1"/>
  <c r="J22" i="11"/>
  <c r="J36" i="11" s="1"/>
  <c r="I22" i="11"/>
  <c r="I36" i="11" s="1"/>
  <c r="E62" i="11" s="1"/>
  <c r="H22" i="11"/>
  <c r="H36" i="11" s="1"/>
  <c r="G22" i="11"/>
  <c r="G36" i="11" s="1"/>
  <c r="E54" i="11" s="1"/>
  <c r="F22" i="11"/>
  <c r="F36" i="11" s="1"/>
  <c r="E22" i="11"/>
  <c r="E36" i="11" s="1"/>
  <c r="L21" i="11"/>
  <c r="L35" i="11" s="1"/>
  <c r="K21" i="11"/>
  <c r="K35" i="11" s="1"/>
  <c r="E69" i="11" s="1"/>
  <c r="J21" i="11"/>
  <c r="J35" i="11" s="1"/>
  <c r="I21" i="11"/>
  <c r="I35" i="11" s="1"/>
  <c r="E61" i="11" s="1"/>
  <c r="H21" i="11"/>
  <c r="H35" i="11" s="1"/>
  <c r="G21" i="11"/>
  <c r="G35" i="11" s="1"/>
  <c r="E53" i="11" s="1"/>
  <c r="F21" i="11"/>
  <c r="F35" i="11" s="1"/>
  <c r="E21" i="11"/>
  <c r="E35" i="11" s="1"/>
  <c r="D21" i="11"/>
  <c r="D35" i="11" s="1"/>
  <c r="C21" i="11"/>
  <c r="C35" i="11" s="1"/>
  <c r="L20" i="11"/>
  <c r="L34" i="11" s="1"/>
  <c r="K20" i="11"/>
  <c r="K34" i="11" s="1"/>
  <c r="J20" i="11"/>
  <c r="J34" i="11" s="1"/>
  <c r="I20" i="11"/>
  <c r="I34" i="11" s="1"/>
  <c r="E60" i="11" s="1"/>
  <c r="H20" i="11"/>
  <c r="H34" i="11" s="1"/>
  <c r="G20" i="11"/>
  <c r="G34" i="11" s="1"/>
  <c r="F20" i="11"/>
  <c r="F34" i="11" s="1"/>
  <c r="E20" i="11"/>
  <c r="E34" i="11" s="1"/>
  <c r="E44" i="11" s="1"/>
  <c r="D20" i="11"/>
  <c r="D34" i="11" s="1"/>
  <c r="C20" i="11"/>
  <c r="C34" i="11" s="1"/>
  <c r="L19" i="11"/>
  <c r="L33" i="11" s="1"/>
  <c r="K19" i="11"/>
  <c r="K33" i="11" s="1"/>
  <c r="E67" i="11" s="1"/>
  <c r="J19" i="11"/>
  <c r="J33" i="11" s="1"/>
  <c r="I19" i="11"/>
  <c r="I33" i="11" s="1"/>
  <c r="H19" i="11"/>
  <c r="H33" i="11" s="1"/>
  <c r="G19" i="11"/>
  <c r="G33" i="11" s="1"/>
  <c r="E51" i="11" s="1"/>
  <c r="F19" i="11"/>
  <c r="F33" i="11" s="1"/>
  <c r="E19" i="11"/>
  <c r="E33" i="11" s="1"/>
  <c r="E43" i="11" s="1"/>
  <c r="D19" i="11"/>
  <c r="D33" i="11" s="1"/>
  <c r="C19" i="11"/>
  <c r="C33" i="11" s="1"/>
  <c r="N18" i="11"/>
  <c r="N32" i="11" s="1"/>
  <c r="M18" i="11"/>
  <c r="M32" i="11" s="1"/>
  <c r="L18" i="11"/>
  <c r="L32" i="11" s="1"/>
  <c r="K18" i="11"/>
  <c r="K32" i="11" s="1"/>
  <c r="E66" i="11" s="1"/>
  <c r="J18" i="11"/>
  <c r="J32" i="11" s="1"/>
  <c r="I18" i="11"/>
  <c r="I32" i="11" s="1"/>
  <c r="E58" i="11" s="1"/>
  <c r="H18" i="11"/>
  <c r="H32" i="11" s="1"/>
  <c r="G18" i="11"/>
  <c r="G32" i="11" s="1"/>
  <c r="E50" i="11" s="1"/>
  <c r="F18" i="11"/>
  <c r="F32" i="11" s="1"/>
  <c r="E18" i="11"/>
  <c r="E32" i="11" s="1"/>
  <c r="D18" i="11"/>
  <c r="D32" i="11" s="1"/>
  <c r="C18" i="11"/>
  <c r="C32" i="11" s="1"/>
  <c r="N17" i="11"/>
  <c r="N31" i="11" s="1"/>
  <c r="M17" i="11"/>
  <c r="M31" i="11" s="1"/>
  <c r="E73" i="11" s="1"/>
  <c r="L17" i="11"/>
  <c r="L31" i="11" s="1"/>
  <c r="K17" i="11"/>
  <c r="K31" i="11" s="1"/>
  <c r="E65" i="11" s="1"/>
  <c r="J17" i="11"/>
  <c r="J31" i="11" s="1"/>
  <c r="I17" i="11"/>
  <c r="I31" i="11" s="1"/>
  <c r="H17" i="11"/>
  <c r="H31" i="11" s="1"/>
  <c r="G17" i="11"/>
  <c r="G31" i="11" s="1"/>
  <c r="E49" i="11" s="1"/>
  <c r="F17" i="11"/>
  <c r="F31" i="11" s="1"/>
  <c r="E17" i="11"/>
  <c r="E31" i="11" s="1"/>
  <c r="E41" i="11" s="1"/>
  <c r="D17" i="11"/>
  <c r="D31" i="11" s="1"/>
  <c r="C17" i="11"/>
  <c r="C31" i="11" s="1"/>
  <c r="A17" i="11"/>
  <c r="N16" i="11"/>
  <c r="N30" i="11" s="1"/>
  <c r="M16" i="11"/>
  <c r="M30" i="11" s="1"/>
  <c r="E72" i="11" s="1"/>
  <c r="L16" i="11"/>
  <c r="L30" i="11" s="1"/>
  <c r="K16" i="11"/>
  <c r="K30" i="11" s="1"/>
  <c r="E64" i="11" s="1"/>
  <c r="J16" i="11"/>
  <c r="J30" i="11" s="1"/>
  <c r="E56" i="11" s="1"/>
  <c r="I16" i="11"/>
  <c r="I30" i="11" s="1"/>
  <c r="H16" i="11"/>
  <c r="H30" i="11" s="1"/>
  <c r="G16" i="11"/>
  <c r="G30" i="11" s="1"/>
  <c r="F16" i="11"/>
  <c r="F30" i="11" s="1"/>
  <c r="E16" i="11"/>
  <c r="E30" i="11" s="1"/>
  <c r="D16" i="11"/>
  <c r="D30" i="11" s="1"/>
  <c r="C16" i="11"/>
  <c r="C30" i="11" s="1"/>
  <c r="N15" i="11"/>
  <c r="N29" i="11" s="1"/>
  <c r="E71" i="11" s="1"/>
  <c r="M15" i="11"/>
  <c r="M29" i="11" s="1"/>
  <c r="L15" i="11"/>
  <c r="L29" i="11" s="1"/>
  <c r="K15" i="11"/>
  <c r="K29" i="11" s="1"/>
  <c r="J15" i="11"/>
  <c r="J29" i="11" s="1"/>
  <c r="I15" i="11"/>
  <c r="I29" i="11" s="1"/>
  <c r="H15" i="11"/>
  <c r="H29" i="11" s="1"/>
  <c r="G15" i="11"/>
  <c r="G29" i="11" s="1"/>
  <c r="E47" i="11" s="1"/>
  <c r="F15" i="11"/>
  <c r="F29" i="11" s="1"/>
  <c r="E39" i="11" s="1"/>
  <c r="E15" i="11"/>
  <c r="E29" i="11" s="1"/>
  <c r="D15" i="11"/>
  <c r="D29" i="11" s="1"/>
  <c r="C15" i="11"/>
  <c r="C29" i="11" s="1"/>
  <c r="U38" i="9"/>
  <c r="U37" i="9"/>
  <c r="U36" i="9"/>
  <c r="U35" i="9"/>
  <c r="U34" i="9"/>
  <c r="U33" i="9"/>
  <c r="U32" i="9"/>
  <c r="U31" i="9"/>
  <c r="U30" i="9"/>
  <c r="U29" i="9"/>
  <c r="U28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U3" i="9"/>
  <c r="U38" i="2"/>
  <c r="U30" i="2"/>
  <c r="U4" i="1"/>
  <c r="U3" i="1"/>
  <c r="T3" i="1"/>
  <c r="T3" i="6"/>
  <c r="S38" i="1"/>
  <c r="R38" i="1"/>
  <c r="Q38" i="1"/>
  <c r="P38" i="1"/>
  <c r="O38" i="1"/>
  <c r="N38" i="1"/>
  <c r="M38" i="1"/>
  <c r="L38" i="1"/>
  <c r="U38" i="1" s="1"/>
  <c r="S37" i="1"/>
  <c r="R37" i="1"/>
  <c r="Q37" i="1"/>
  <c r="P37" i="1"/>
  <c r="O37" i="1"/>
  <c r="N37" i="1"/>
  <c r="M37" i="1"/>
  <c r="L37" i="1"/>
  <c r="U37" i="1" s="1"/>
  <c r="S36" i="1"/>
  <c r="R36" i="1"/>
  <c r="Q36" i="1"/>
  <c r="P36" i="1"/>
  <c r="O36" i="1"/>
  <c r="N36" i="1"/>
  <c r="M36" i="1"/>
  <c r="L36" i="1"/>
  <c r="U36" i="1" s="1"/>
  <c r="S35" i="1"/>
  <c r="R35" i="1"/>
  <c r="Q35" i="1"/>
  <c r="P35" i="1"/>
  <c r="O35" i="1"/>
  <c r="N35" i="1"/>
  <c r="M35" i="1"/>
  <c r="L35" i="1"/>
  <c r="U35" i="1" s="1"/>
  <c r="S34" i="1"/>
  <c r="R34" i="1"/>
  <c r="Q34" i="1"/>
  <c r="P34" i="1"/>
  <c r="O34" i="1"/>
  <c r="N34" i="1"/>
  <c r="M34" i="1"/>
  <c r="L34" i="1"/>
  <c r="U34" i="1" s="1"/>
  <c r="S33" i="1"/>
  <c r="R33" i="1"/>
  <c r="Q33" i="1"/>
  <c r="P33" i="1"/>
  <c r="O33" i="1"/>
  <c r="N33" i="1"/>
  <c r="M33" i="1"/>
  <c r="L33" i="1"/>
  <c r="U33" i="1" s="1"/>
  <c r="S32" i="1"/>
  <c r="R32" i="1"/>
  <c r="Q32" i="1"/>
  <c r="P32" i="1"/>
  <c r="O32" i="1"/>
  <c r="N32" i="1"/>
  <c r="M32" i="1"/>
  <c r="L32" i="1"/>
  <c r="U32" i="1" s="1"/>
  <c r="S31" i="1"/>
  <c r="R31" i="1"/>
  <c r="Q31" i="1"/>
  <c r="P31" i="1"/>
  <c r="O31" i="1"/>
  <c r="N31" i="1"/>
  <c r="M31" i="1"/>
  <c r="L31" i="1"/>
  <c r="U31" i="1" s="1"/>
  <c r="S30" i="1"/>
  <c r="R30" i="1"/>
  <c r="Q30" i="1"/>
  <c r="P30" i="1"/>
  <c r="O30" i="1"/>
  <c r="N30" i="1"/>
  <c r="M30" i="1"/>
  <c r="L30" i="1"/>
  <c r="U30" i="1" s="1"/>
  <c r="S29" i="1"/>
  <c r="R29" i="1"/>
  <c r="Q29" i="1"/>
  <c r="P29" i="1"/>
  <c r="O29" i="1"/>
  <c r="N29" i="1"/>
  <c r="M29" i="1"/>
  <c r="L29" i="1"/>
  <c r="U29" i="1" s="1"/>
  <c r="S28" i="1"/>
  <c r="R28" i="1"/>
  <c r="Q28" i="1"/>
  <c r="P28" i="1"/>
  <c r="O28" i="1"/>
  <c r="N28" i="1"/>
  <c r="M28" i="1"/>
  <c r="L28" i="1"/>
  <c r="U28" i="1" s="1"/>
  <c r="S27" i="1"/>
  <c r="R27" i="1"/>
  <c r="Q27" i="1"/>
  <c r="P27" i="1"/>
  <c r="O27" i="1"/>
  <c r="N27" i="1"/>
  <c r="M27" i="1"/>
  <c r="L27" i="1"/>
  <c r="U27" i="1" s="1"/>
  <c r="S26" i="1"/>
  <c r="R26" i="1"/>
  <c r="Q26" i="1"/>
  <c r="P26" i="1"/>
  <c r="O26" i="1"/>
  <c r="N26" i="1"/>
  <c r="M26" i="1"/>
  <c r="L26" i="1"/>
  <c r="U26" i="1" s="1"/>
  <c r="S25" i="1"/>
  <c r="R25" i="1"/>
  <c r="Q25" i="1"/>
  <c r="P25" i="1"/>
  <c r="O25" i="1"/>
  <c r="N25" i="1"/>
  <c r="M25" i="1"/>
  <c r="L25" i="1"/>
  <c r="U25" i="1" s="1"/>
  <c r="S24" i="1"/>
  <c r="R24" i="1"/>
  <c r="Q24" i="1"/>
  <c r="P24" i="1"/>
  <c r="O24" i="1"/>
  <c r="N24" i="1"/>
  <c r="M24" i="1"/>
  <c r="L24" i="1"/>
  <c r="U24" i="1" s="1"/>
  <c r="S23" i="1"/>
  <c r="R23" i="1"/>
  <c r="Q23" i="1"/>
  <c r="P23" i="1"/>
  <c r="O23" i="1"/>
  <c r="N23" i="1"/>
  <c r="M23" i="1"/>
  <c r="L23" i="1"/>
  <c r="U23" i="1" s="1"/>
  <c r="S22" i="1"/>
  <c r="R22" i="1"/>
  <c r="Q22" i="1"/>
  <c r="P22" i="1"/>
  <c r="O22" i="1"/>
  <c r="N22" i="1"/>
  <c r="M22" i="1"/>
  <c r="L22" i="1"/>
  <c r="U22" i="1" s="1"/>
  <c r="S21" i="1"/>
  <c r="R21" i="1"/>
  <c r="Q21" i="1"/>
  <c r="P21" i="1"/>
  <c r="O21" i="1"/>
  <c r="N21" i="1"/>
  <c r="M21" i="1"/>
  <c r="L21" i="1"/>
  <c r="U21" i="1" s="1"/>
  <c r="S20" i="1"/>
  <c r="R20" i="1"/>
  <c r="Q20" i="1"/>
  <c r="P20" i="1"/>
  <c r="O20" i="1"/>
  <c r="N20" i="1"/>
  <c r="M20" i="1"/>
  <c r="L20" i="1"/>
  <c r="U20" i="1" s="1"/>
  <c r="S19" i="1"/>
  <c r="R19" i="1"/>
  <c r="Q19" i="1"/>
  <c r="P19" i="1"/>
  <c r="O19" i="1"/>
  <c r="N19" i="1"/>
  <c r="M19" i="1"/>
  <c r="L19" i="1"/>
  <c r="U19" i="1" s="1"/>
  <c r="S18" i="1"/>
  <c r="R18" i="1"/>
  <c r="Q18" i="1"/>
  <c r="P18" i="1"/>
  <c r="O18" i="1"/>
  <c r="N18" i="1"/>
  <c r="M18" i="1"/>
  <c r="L18" i="1"/>
  <c r="U18" i="1" s="1"/>
  <c r="S17" i="1"/>
  <c r="R17" i="1"/>
  <c r="Q17" i="1"/>
  <c r="P17" i="1"/>
  <c r="O17" i="1"/>
  <c r="N17" i="1"/>
  <c r="M17" i="1"/>
  <c r="L17" i="1"/>
  <c r="U17" i="1" s="1"/>
  <c r="S16" i="1"/>
  <c r="R16" i="1"/>
  <c r="Q16" i="1"/>
  <c r="P16" i="1"/>
  <c r="O16" i="1"/>
  <c r="N16" i="1"/>
  <c r="M16" i="1"/>
  <c r="L16" i="1"/>
  <c r="U16" i="1" s="1"/>
  <c r="S15" i="1"/>
  <c r="R15" i="1"/>
  <c r="Q15" i="1"/>
  <c r="P15" i="1"/>
  <c r="O15" i="1"/>
  <c r="N15" i="1"/>
  <c r="M15" i="1"/>
  <c r="L15" i="1"/>
  <c r="U15" i="1" s="1"/>
  <c r="S14" i="1"/>
  <c r="R14" i="1"/>
  <c r="Q14" i="1"/>
  <c r="P14" i="1"/>
  <c r="O14" i="1"/>
  <c r="N14" i="1"/>
  <c r="M14" i="1"/>
  <c r="L14" i="1"/>
  <c r="U14" i="1" s="1"/>
  <c r="S13" i="1"/>
  <c r="R13" i="1"/>
  <c r="Q13" i="1"/>
  <c r="P13" i="1"/>
  <c r="O13" i="1"/>
  <c r="N13" i="1"/>
  <c r="M13" i="1"/>
  <c r="L13" i="1"/>
  <c r="U13" i="1" s="1"/>
  <c r="S12" i="1"/>
  <c r="R12" i="1"/>
  <c r="Q12" i="1"/>
  <c r="P12" i="1"/>
  <c r="O12" i="1"/>
  <c r="N12" i="1"/>
  <c r="M12" i="1"/>
  <c r="L12" i="1"/>
  <c r="U12" i="1" s="1"/>
  <c r="S11" i="1"/>
  <c r="R11" i="1"/>
  <c r="Q11" i="1"/>
  <c r="P11" i="1"/>
  <c r="O11" i="1"/>
  <c r="N11" i="1"/>
  <c r="M11" i="1"/>
  <c r="L11" i="1"/>
  <c r="U11" i="1" s="1"/>
  <c r="S10" i="1"/>
  <c r="R10" i="1"/>
  <c r="Q10" i="1"/>
  <c r="P10" i="1"/>
  <c r="O10" i="1"/>
  <c r="N10" i="1"/>
  <c r="M10" i="1"/>
  <c r="L10" i="1"/>
  <c r="U10" i="1" s="1"/>
  <c r="S9" i="1"/>
  <c r="R9" i="1"/>
  <c r="Q9" i="1"/>
  <c r="P9" i="1"/>
  <c r="O9" i="1"/>
  <c r="N9" i="1"/>
  <c r="M9" i="1"/>
  <c r="L9" i="1"/>
  <c r="U9" i="1" s="1"/>
  <c r="S8" i="1"/>
  <c r="R8" i="1"/>
  <c r="Q8" i="1"/>
  <c r="P8" i="1"/>
  <c r="O8" i="1"/>
  <c r="N8" i="1"/>
  <c r="M8" i="1"/>
  <c r="L8" i="1"/>
  <c r="U8" i="1" s="1"/>
  <c r="S7" i="1"/>
  <c r="R7" i="1"/>
  <c r="Q7" i="1"/>
  <c r="P7" i="1"/>
  <c r="O7" i="1"/>
  <c r="N7" i="1"/>
  <c r="M7" i="1"/>
  <c r="L7" i="1"/>
  <c r="U7" i="1" s="1"/>
  <c r="S6" i="1"/>
  <c r="R6" i="1"/>
  <c r="Q6" i="1"/>
  <c r="P6" i="1"/>
  <c r="O6" i="1"/>
  <c r="N6" i="1"/>
  <c r="M6" i="1"/>
  <c r="L6" i="1"/>
  <c r="U6" i="1" s="1"/>
  <c r="S5" i="1"/>
  <c r="R5" i="1"/>
  <c r="Q5" i="1"/>
  <c r="P5" i="1"/>
  <c r="U5" i="1" s="1"/>
  <c r="O5" i="1"/>
  <c r="N5" i="1"/>
  <c r="M5" i="1"/>
  <c r="L5" i="1"/>
  <c r="S4" i="1"/>
  <c r="R4" i="1"/>
  <c r="Q4" i="1"/>
  <c r="P4" i="1"/>
  <c r="O4" i="1"/>
  <c r="N4" i="1"/>
  <c r="M4" i="1"/>
  <c r="L4" i="1"/>
  <c r="S3" i="1"/>
  <c r="R3" i="1"/>
  <c r="Q3" i="1"/>
  <c r="P3" i="1"/>
  <c r="O3" i="1"/>
  <c r="N3" i="1"/>
  <c r="M3" i="1"/>
  <c r="L3" i="1"/>
  <c r="O38" i="2"/>
  <c r="N38" i="2"/>
  <c r="M38" i="2"/>
  <c r="L38" i="2"/>
  <c r="O37" i="2"/>
  <c r="N37" i="2"/>
  <c r="M37" i="2"/>
  <c r="L37" i="2"/>
  <c r="U37" i="2" s="1"/>
  <c r="O36" i="2"/>
  <c r="N36" i="2"/>
  <c r="M36" i="2"/>
  <c r="L36" i="2"/>
  <c r="U36" i="2" s="1"/>
  <c r="O35" i="2"/>
  <c r="N35" i="2"/>
  <c r="M35" i="2"/>
  <c r="L35" i="2"/>
  <c r="O34" i="2"/>
  <c r="N34" i="2"/>
  <c r="M34" i="2"/>
  <c r="L34" i="2"/>
  <c r="U34" i="2" s="1"/>
  <c r="O33" i="2"/>
  <c r="N33" i="2"/>
  <c r="M33" i="2"/>
  <c r="L33" i="2"/>
  <c r="U33" i="2" s="1"/>
  <c r="O32" i="2"/>
  <c r="N32" i="2"/>
  <c r="M32" i="2"/>
  <c r="L32" i="2"/>
  <c r="U32" i="2" s="1"/>
  <c r="O31" i="2"/>
  <c r="N31" i="2"/>
  <c r="M31" i="2"/>
  <c r="L31" i="2"/>
  <c r="O30" i="2"/>
  <c r="N30" i="2"/>
  <c r="M30" i="2"/>
  <c r="L30" i="2"/>
  <c r="O29" i="2"/>
  <c r="N29" i="2"/>
  <c r="M29" i="2"/>
  <c r="L29" i="2"/>
  <c r="U29" i="2" s="1"/>
  <c r="O28" i="2"/>
  <c r="N28" i="2"/>
  <c r="M28" i="2"/>
  <c r="L28" i="2"/>
  <c r="U28" i="2" s="1"/>
  <c r="O27" i="2"/>
  <c r="N27" i="2"/>
  <c r="M27" i="2"/>
  <c r="L27" i="2"/>
  <c r="O26" i="2"/>
  <c r="N26" i="2"/>
  <c r="M26" i="2"/>
  <c r="L26" i="2"/>
  <c r="U26" i="2" s="1"/>
  <c r="O25" i="2"/>
  <c r="N25" i="2"/>
  <c r="M25" i="2"/>
  <c r="L25" i="2"/>
  <c r="U25" i="2" s="1"/>
  <c r="O24" i="2"/>
  <c r="N24" i="2"/>
  <c r="M24" i="2"/>
  <c r="L24" i="2"/>
  <c r="U24" i="2" s="1"/>
  <c r="O23" i="2"/>
  <c r="N23" i="2"/>
  <c r="M23" i="2"/>
  <c r="L23" i="2"/>
  <c r="O22" i="2"/>
  <c r="N22" i="2"/>
  <c r="M22" i="2"/>
  <c r="L22" i="2"/>
  <c r="U22" i="2" s="1"/>
  <c r="O21" i="2"/>
  <c r="N21" i="2"/>
  <c r="M21" i="2"/>
  <c r="L21" i="2"/>
  <c r="U21" i="2" s="1"/>
  <c r="O20" i="2"/>
  <c r="N20" i="2"/>
  <c r="M20" i="2"/>
  <c r="L20" i="2"/>
  <c r="U20" i="2" s="1"/>
  <c r="O19" i="2"/>
  <c r="N19" i="2"/>
  <c r="M19" i="2"/>
  <c r="L19" i="2"/>
  <c r="O18" i="2"/>
  <c r="N18" i="2"/>
  <c r="M18" i="2"/>
  <c r="L18" i="2"/>
  <c r="U18" i="2" s="1"/>
  <c r="O17" i="2"/>
  <c r="N17" i="2"/>
  <c r="M17" i="2"/>
  <c r="L17" i="2"/>
  <c r="U17" i="2" s="1"/>
  <c r="O16" i="2"/>
  <c r="N16" i="2"/>
  <c r="M16" i="2"/>
  <c r="L16" i="2"/>
  <c r="U16" i="2" s="1"/>
  <c r="O15" i="2"/>
  <c r="N15" i="2"/>
  <c r="M15" i="2"/>
  <c r="L15" i="2"/>
  <c r="O14" i="2"/>
  <c r="N14" i="2"/>
  <c r="M14" i="2"/>
  <c r="L14" i="2"/>
  <c r="U14" i="2" s="1"/>
  <c r="O13" i="2"/>
  <c r="N13" i="2"/>
  <c r="M13" i="2"/>
  <c r="L13" i="2"/>
  <c r="U13" i="2" s="1"/>
  <c r="O12" i="2"/>
  <c r="N12" i="2"/>
  <c r="M12" i="2"/>
  <c r="L12" i="2"/>
  <c r="U12" i="2" s="1"/>
  <c r="O11" i="2"/>
  <c r="N11" i="2"/>
  <c r="M11" i="2"/>
  <c r="L11" i="2"/>
  <c r="O10" i="2"/>
  <c r="N10" i="2"/>
  <c r="M10" i="2"/>
  <c r="L10" i="2"/>
  <c r="U10" i="2" s="1"/>
  <c r="O9" i="2"/>
  <c r="N9" i="2"/>
  <c r="M9" i="2"/>
  <c r="L9" i="2"/>
  <c r="U9" i="2" s="1"/>
  <c r="O8" i="2"/>
  <c r="N8" i="2"/>
  <c r="M8" i="2"/>
  <c r="L8" i="2"/>
  <c r="U8" i="2" s="1"/>
  <c r="O7" i="2"/>
  <c r="N7" i="2"/>
  <c r="M7" i="2"/>
  <c r="L7" i="2"/>
  <c r="O6" i="2"/>
  <c r="N6" i="2"/>
  <c r="M6" i="2"/>
  <c r="L6" i="2"/>
  <c r="U6" i="2" s="1"/>
  <c r="O5" i="2"/>
  <c r="N5" i="2"/>
  <c r="M5" i="2"/>
  <c r="L5" i="2"/>
  <c r="U5" i="2" s="1"/>
  <c r="O4" i="2"/>
  <c r="N4" i="2"/>
  <c r="M4" i="2"/>
  <c r="L4" i="2"/>
  <c r="U4" i="2" s="1"/>
  <c r="O3" i="2"/>
  <c r="N3" i="2"/>
  <c r="M3" i="2"/>
  <c r="L3" i="2"/>
  <c r="O38" i="3"/>
  <c r="N38" i="3"/>
  <c r="M38" i="3"/>
  <c r="L38" i="3"/>
  <c r="O37" i="3"/>
  <c r="N37" i="3"/>
  <c r="M37" i="3"/>
  <c r="L37" i="3"/>
  <c r="U37" i="3" s="1"/>
  <c r="O36" i="3"/>
  <c r="N36" i="3"/>
  <c r="M36" i="3"/>
  <c r="L36" i="3"/>
  <c r="U36" i="3" s="1"/>
  <c r="O35" i="3"/>
  <c r="N35" i="3"/>
  <c r="M35" i="3"/>
  <c r="L35" i="3"/>
  <c r="U35" i="3" s="1"/>
  <c r="O34" i="3"/>
  <c r="N34" i="3"/>
  <c r="M34" i="3"/>
  <c r="L34" i="3"/>
  <c r="O33" i="3"/>
  <c r="N33" i="3"/>
  <c r="M33" i="3"/>
  <c r="L33" i="3"/>
  <c r="U33" i="3" s="1"/>
  <c r="O32" i="3"/>
  <c r="N32" i="3"/>
  <c r="M32" i="3"/>
  <c r="L32" i="3"/>
  <c r="U32" i="3" s="1"/>
  <c r="O31" i="3"/>
  <c r="N31" i="3"/>
  <c r="M31" i="3"/>
  <c r="L31" i="3"/>
  <c r="U31" i="3" s="1"/>
  <c r="O30" i="3"/>
  <c r="N30" i="3"/>
  <c r="M30" i="3"/>
  <c r="L30" i="3"/>
  <c r="O29" i="3"/>
  <c r="N29" i="3"/>
  <c r="M29" i="3"/>
  <c r="L29" i="3"/>
  <c r="U29" i="3" s="1"/>
  <c r="O28" i="3"/>
  <c r="N28" i="3"/>
  <c r="M28" i="3"/>
  <c r="L28" i="3"/>
  <c r="U28" i="3" s="1"/>
  <c r="O27" i="3"/>
  <c r="N27" i="3"/>
  <c r="M27" i="3"/>
  <c r="L27" i="3"/>
  <c r="U27" i="3" s="1"/>
  <c r="O26" i="3"/>
  <c r="N26" i="3"/>
  <c r="M26" i="3"/>
  <c r="L26" i="3"/>
  <c r="O25" i="3"/>
  <c r="N25" i="3"/>
  <c r="M25" i="3"/>
  <c r="L25" i="3"/>
  <c r="U25" i="3" s="1"/>
  <c r="O24" i="3"/>
  <c r="N24" i="3"/>
  <c r="M24" i="3"/>
  <c r="L24" i="3"/>
  <c r="U24" i="3" s="1"/>
  <c r="O23" i="3"/>
  <c r="N23" i="3"/>
  <c r="M23" i="3"/>
  <c r="L23" i="3"/>
  <c r="U23" i="3" s="1"/>
  <c r="O22" i="3"/>
  <c r="N22" i="3"/>
  <c r="U22" i="3" s="1"/>
  <c r="M22" i="3"/>
  <c r="L22" i="3"/>
  <c r="O21" i="3"/>
  <c r="N21" i="3"/>
  <c r="M21" i="3"/>
  <c r="L21" i="3"/>
  <c r="U21" i="3" s="1"/>
  <c r="O20" i="3"/>
  <c r="N20" i="3"/>
  <c r="M20" i="3"/>
  <c r="L20" i="3"/>
  <c r="U20" i="3" s="1"/>
  <c r="O19" i="3"/>
  <c r="N19" i="3"/>
  <c r="M19" i="3"/>
  <c r="L19" i="3"/>
  <c r="U19" i="3" s="1"/>
  <c r="O18" i="3"/>
  <c r="N18" i="3"/>
  <c r="M18" i="3"/>
  <c r="L18" i="3"/>
  <c r="O17" i="3"/>
  <c r="N17" i="3"/>
  <c r="M17" i="3"/>
  <c r="L17" i="3"/>
  <c r="U17" i="3" s="1"/>
  <c r="O16" i="3"/>
  <c r="N16" i="3"/>
  <c r="M16" i="3"/>
  <c r="L16" i="3"/>
  <c r="U16" i="3" s="1"/>
  <c r="O15" i="3"/>
  <c r="N15" i="3"/>
  <c r="M15" i="3"/>
  <c r="L15" i="3"/>
  <c r="U15" i="3" s="1"/>
  <c r="O14" i="3"/>
  <c r="N14" i="3"/>
  <c r="M14" i="3"/>
  <c r="L14" i="3"/>
  <c r="O13" i="3"/>
  <c r="N13" i="3"/>
  <c r="M13" i="3"/>
  <c r="L13" i="3"/>
  <c r="U13" i="3" s="1"/>
  <c r="O12" i="3"/>
  <c r="N12" i="3"/>
  <c r="M12" i="3"/>
  <c r="L12" i="3"/>
  <c r="U12" i="3" s="1"/>
  <c r="O11" i="3"/>
  <c r="N11" i="3"/>
  <c r="M11" i="3"/>
  <c r="L11" i="3"/>
  <c r="U11" i="3" s="1"/>
  <c r="O10" i="3"/>
  <c r="N10" i="3"/>
  <c r="M10" i="3"/>
  <c r="L10" i="3"/>
  <c r="O9" i="3"/>
  <c r="N9" i="3"/>
  <c r="M9" i="3"/>
  <c r="L9" i="3"/>
  <c r="U9" i="3" s="1"/>
  <c r="O8" i="3"/>
  <c r="N8" i="3"/>
  <c r="M8" i="3"/>
  <c r="L8" i="3"/>
  <c r="U8" i="3" s="1"/>
  <c r="O7" i="3"/>
  <c r="N7" i="3"/>
  <c r="M7" i="3"/>
  <c r="L7" i="3"/>
  <c r="U7" i="3" s="1"/>
  <c r="O6" i="3"/>
  <c r="N6" i="3"/>
  <c r="M6" i="3"/>
  <c r="L6" i="3"/>
  <c r="O5" i="3"/>
  <c r="N5" i="3"/>
  <c r="M5" i="3"/>
  <c r="L5" i="3"/>
  <c r="U5" i="3" s="1"/>
  <c r="O4" i="3"/>
  <c r="N4" i="3"/>
  <c r="M4" i="3"/>
  <c r="L4" i="3"/>
  <c r="U4" i="3" s="1"/>
  <c r="O3" i="3"/>
  <c r="N3" i="3"/>
  <c r="M3" i="3"/>
  <c r="L3" i="3"/>
  <c r="O38" i="4"/>
  <c r="N38" i="4"/>
  <c r="M38" i="4"/>
  <c r="L38" i="4"/>
  <c r="U38" i="4" s="1"/>
  <c r="O37" i="4"/>
  <c r="N37" i="4"/>
  <c r="M37" i="4"/>
  <c r="L37" i="4"/>
  <c r="U37" i="4" s="1"/>
  <c r="O36" i="4"/>
  <c r="N36" i="4"/>
  <c r="M36" i="4"/>
  <c r="L36" i="4"/>
  <c r="U36" i="4" s="1"/>
  <c r="O35" i="4"/>
  <c r="N35" i="4"/>
  <c r="M35" i="4"/>
  <c r="L35" i="4"/>
  <c r="O34" i="4"/>
  <c r="N34" i="4"/>
  <c r="M34" i="4"/>
  <c r="L34" i="4"/>
  <c r="U34" i="4" s="1"/>
  <c r="O33" i="4"/>
  <c r="N33" i="4"/>
  <c r="M33" i="4"/>
  <c r="L33" i="4"/>
  <c r="U33" i="4" s="1"/>
  <c r="O32" i="4"/>
  <c r="N32" i="4"/>
  <c r="M32" i="4"/>
  <c r="L32" i="4"/>
  <c r="U32" i="4" s="1"/>
  <c r="O31" i="4"/>
  <c r="N31" i="4"/>
  <c r="M31" i="4"/>
  <c r="L31" i="4"/>
  <c r="U31" i="4" s="1"/>
  <c r="O30" i="4"/>
  <c r="N30" i="4"/>
  <c r="M30" i="4"/>
  <c r="L30" i="4"/>
  <c r="U30" i="4" s="1"/>
  <c r="O29" i="4"/>
  <c r="N29" i="4"/>
  <c r="M29" i="4"/>
  <c r="L29" i="4"/>
  <c r="U29" i="4" s="1"/>
  <c r="O28" i="4"/>
  <c r="N28" i="4"/>
  <c r="M28" i="4"/>
  <c r="L28" i="4"/>
  <c r="U28" i="4" s="1"/>
  <c r="O27" i="4"/>
  <c r="N27" i="4"/>
  <c r="M27" i="4"/>
  <c r="L27" i="4"/>
  <c r="O26" i="4"/>
  <c r="N26" i="4"/>
  <c r="M26" i="4"/>
  <c r="L26" i="4"/>
  <c r="U26" i="4" s="1"/>
  <c r="O25" i="4"/>
  <c r="N25" i="4"/>
  <c r="M25" i="4"/>
  <c r="L25" i="4"/>
  <c r="U25" i="4" s="1"/>
  <c r="O24" i="4"/>
  <c r="N24" i="4"/>
  <c r="M24" i="4"/>
  <c r="L24" i="4"/>
  <c r="U24" i="4" s="1"/>
  <c r="O23" i="4"/>
  <c r="N23" i="4"/>
  <c r="M23" i="4"/>
  <c r="L23" i="4"/>
  <c r="U23" i="4" s="1"/>
  <c r="O22" i="4"/>
  <c r="N22" i="4"/>
  <c r="M22" i="4"/>
  <c r="L22" i="4"/>
  <c r="U22" i="4" s="1"/>
  <c r="O21" i="4"/>
  <c r="N21" i="4"/>
  <c r="M21" i="4"/>
  <c r="L21" i="4"/>
  <c r="U21" i="4" s="1"/>
  <c r="O20" i="4"/>
  <c r="N20" i="4"/>
  <c r="M20" i="4"/>
  <c r="L20" i="4"/>
  <c r="U20" i="4" s="1"/>
  <c r="O19" i="4"/>
  <c r="N19" i="4"/>
  <c r="M19" i="4"/>
  <c r="L19" i="4"/>
  <c r="O18" i="4"/>
  <c r="N18" i="4"/>
  <c r="M18" i="4"/>
  <c r="L18" i="4"/>
  <c r="U18" i="4" s="1"/>
  <c r="O17" i="4"/>
  <c r="N17" i="4"/>
  <c r="M17" i="4"/>
  <c r="L17" i="4"/>
  <c r="U17" i="4" s="1"/>
  <c r="O16" i="4"/>
  <c r="N16" i="4"/>
  <c r="M16" i="4"/>
  <c r="L16" i="4"/>
  <c r="U16" i="4" s="1"/>
  <c r="O15" i="4"/>
  <c r="N15" i="4"/>
  <c r="M15" i="4"/>
  <c r="L15" i="4"/>
  <c r="U15" i="4" s="1"/>
  <c r="O14" i="4"/>
  <c r="N14" i="4"/>
  <c r="M14" i="4"/>
  <c r="L14" i="4"/>
  <c r="U14" i="4" s="1"/>
  <c r="O13" i="4"/>
  <c r="N13" i="4"/>
  <c r="M13" i="4"/>
  <c r="L13" i="4"/>
  <c r="U13" i="4" s="1"/>
  <c r="O12" i="4"/>
  <c r="N12" i="4"/>
  <c r="M12" i="4"/>
  <c r="L12" i="4"/>
  <c r="U12" i="4" s="1"/>
  <c r="O11" i="4"/>
  <c r="N11" i="4"/>
  <c r="M11" i="4"/>
  <c r="L11" i="4"/>
  <c r="O10" i="4"/>
  <c r="N10" i="4"/>
  <c r="M10" i="4"/>
  <c r="L10" i="4"/>
  <c r="U10" i="4" s="1"/>
  <c r="O9" i="4"/>
  <c r="N9" i="4"/>
  <c r="M9" i="4"/>
  <c r="L9" i="4"/>
  <c r="U9" i="4" s="1"/>
  <c r="O8" i="4"/>
  <c r="N8" i="4"/>
  <c r="M8" i="4"/>
  <c r="L8" i="4"/>
  <c r="U8" i="4" s="1"/>
  <c r="O7" i="4"/>
  <c r="N7" i="4"/>
  <c r="M7" i="4"/>
  <c r="L7" i="4"/>
  <c r="U7" i="4" s="1"/>
  <c r="O6" i="4"/>
  <c r="N6" i="4"/>
  <c r="M6" i="4"/>
  <c r="L6" i="4"/>
  <c r="U6" i="4" s="1"/>
  <c r="O5" i="4"/>
  <c r="N5" i="4"/>
  <c r="M5" i="4"/>
  <c r="L5" i="4"/>
  <c r="U5" i="4" s="1"/>
  <c r="O4" i="4"/>
  <c r="N4" i="4"/>
  <c r="M4" i="4"/>
  <c r="L4" i="4"/>
  <c r="U4" i="4" s="1"/>
  <c r="O3" i="4"/>
  <c r="N3" i="4"/>
  <c r="M3" i="4"/>
  <c r="L3" i="4"/>
  <c r="O38" i="5"/>
  <c r="N38" i="5"/>
  <c r="M38" i="5"/>
  <c r="L38" i="5"/>
  <c r="U38" i="5" s="1"/>
  <c r="O37" i="5"/>
  <c r="N37" i="5"/>
  <c r="M37" i="5"/>
  <c r="L37" i="5"/>
  <c r="U37" i="5" s="1"/>
  <c r="O36" i="5"/>
  <c r="N36" i="5"/>
  <c r="M36" i="5"/>
  <c r="L36" i="5"/>
  <c r="U36" i="5" s="1"/>
  <c r="O35" i="5"/>
  <c r="N35" i="5"/>
  <c r="M35" i="5"/>
  <c r="L35" i="5"/>
  <c r="U35" i="5" s="1"/>
  <c r="O34" i="5"/>
  <c r="N34" i="5"/>
  <c r="M34" i="5"/>
  <c r="L34" i="5"/>
  <c r="U34" i="5" s="1"/>
  <c r="O33" i="5"/>
  <c r="N33" i="5"/>
  <c r="M33" i="5"/>
  <c r="L33" i="5"/>
  <c r="U33" i="5" s="1"/>
  <c r="O32" i="5"/>
  <c r="N32" i="5"/>
  <c r="M32" i="5"/>
  <c r="L32" i="5"/>
  <c r="U32" i="5" s="1"/>
  <c r="O31" i="5"/>
  <c r="N31" i="5"/>
  <c r="M31" i="5"/>
  <c r="L31" i="5"/>
  <c r="U31" i="5" s="1"/>
  <c r="O30" i="5"/>
  <c r="N30" i="5"/>
  <c r="M30" i="5"/>
  <c r="L30" i="5"/>
  <c r="U30" i="5" s="1"/>
  <c r="O29" i="5"/>
  <c r="N29" i="5"/>
  <c r="M29" i="5"/>
  <c r="L29" i="5"/>
  <c r="U29" i="5" s="1"/>
  <c r="O28" i="5"/>
  <c r="N28" i="5"/>
  <c r="M28" i="5"/>
  <c r="L28" i="5"/>
  <c r="U28" i="5" s="1"/>
  <c r="O27" i="5"/>
  <c r="N27" i="5"/>
  <c r="M27" i="5"/>
  <c r="L27" i="5"/>
  <c r="U27" i="5" s="1"/>
  <c r="O26" i="5"/>
  <c r="N26" i="5"/>
  <c r="M26" i="5"/>
  <c r="L26" i="5"/>
  <c r="U26" i="5" s="1"/>
  <c r="O25" i="5"/>
  <c r="N25" i="5"/>
  <c r="M25" i="5"/>
  <c r="L25" i="5"/>
  <c r="U25" i="5" s="1"/>
  <c r="O24" i="5"/>
  <c r="N24" i="5"/>
  <c r="M24" i="5"/>
  <c r="L24" i="5"/>
  <c r="U24" i="5" s="1"/>
  <c r="O23" i="5"/>
  <c r="N23" i="5"/>
  <c r="M23" i="5"/>
  <c r="L23" i="5"/>
  <c r="U23" i="5" s="1"/>
  <c r="O22" i="5"/>
  <c r="N22" i="5"/>
  <c r="M22" i="5"/>
  <c r="L22" i="5"/>
  <c r="U22" i="5" s="1"/>
  <c r="O21" i="5"/>
  <c r="N21" i="5"/>
  <c r="M21" i="5"/>
  <c r="L21" i="5"/>
  <c r="U21" i="5" s="1"/>
  <c r="O20" i="5"/>
  <c r="N20" i="5"/>
  <c r="M20" i="5"/>
  <c r="L20" i="5"/>
  <c r="U20" i="5" s="1"/>
  <c r="O19" i="5"/>
  <c r="N19" i="5"/>
  <c r="M19" i="5"/>
  <c r="L19" i="5"/>
  <c r="U19" i="5" s="1"/>
  <c r="O18" i="5"/>
  <c r="N18" i="5"/>
  <c r="M18" i="5"/>
  <c r="L18" i="5"/>
  <c r="U18" i="5" s="1"/>
  <c r="O17" i="5"/>
  <c r="N17" i="5"/>
  <c r="M17" i="5"/>
  <c r="L17" i="5"/>
  <c r="U17" i="5" s="1"/>
  <c r="O16" i="5"/>
  <c r="N16" i="5"/>
  <c r="M16" i="5"/>
  <c r="L16" i="5"/>
  <c r="U16" i="5" s="1"/>
  <c r="O15" i="5"/>
  <c r="N15" i="5"/>
  <c r="M15" i="5"/>
  <c r="L15" i="5"/>
  <c r="U15" i="5" s="1"/>
  <c r="O14" i="5"/>
  <c r="N14" i="5"/>
  <c r="M14" i="5"/>
  <c r="L14" i="5"/>
  <c r="U14" i="5" s="1"/>
  <c r="O13" i="5"/>
  <c r="N13" i="5"/>
  <c r="M13" i="5"/>
  <c r="L13" i="5"/>
  <c r="U13" i="5" s="1"/>
  <c r="O12" i="5"/>
  <c r="N12" i="5"/>
  <c r="M12" i="5"/>
  <c r="L12" i="5"/>
  <c r="U12" i="5" s="1"/>
  <c r="O11" i="5"/>
  <c r="N11" i="5"/>
  <c r="M11" i="5"/>
  <c r="L11" i="5"/>
  <c r="U11" i="5" s="1"/>
  <c r="O10" i="5"/>
  <c r="N10" i="5"/>
  <c r="M10" i="5"/>
  <c r="L10" i="5"/>
  <c r="U10" i="5" s="1"/>
  <c r="O9" i="5"/>
  <c r="N9" i="5"/>
  <c r="M9" i="5"/>
  <c r="L9" i="5"/>
  <c r="U9" i="5" s="1"/>
  <c r="O8" i="5"/>
  <c r="N8" i="5"/>
  <c r="M8" i="5"/>
  <c r="L8" i="5"/>
  <c r="U8" i="5" s="1"/>
  <c r="O7" i="5"/>
  <c r="N7" i="5"/>
  <c r="M7" i="5"/>
  <c r="L7" i="5"/>
  <c r="U7" i="5" s="1"/>
  <c r="O6" i="5"/>
  <c r="N6" i="5"/>
  <c r="M6" i="5"/>
  <c r="L6" i="5"/>
  <c r="U6" i="5" s="1"/>
  <c r="O5" i="5"/>
  <c r="N5" i="5"/>
  <c r="M5" i="5"/>
  <c r="L5" i="5"/>
  <c r="U5" i="5" s="1"/>
  <c r="O4" i="5"/>
  <c r="N4" i="5"/>
  <c r="M4" i="5"/>
  <c r="L4" i="5"/>
  <c r="U4" i="5" s="1"/>
  <c r="O3" i="5"/>
  <c r="N3" i="5"/>
  <c r="M3" i="5"/>
  <c r="U3" i="5" s="1"/>
  <c r="L3" i="5"/>
  <c r="O38" i="6"/>
  <c r="N38" i="6"/>
  <c r="M38" i="6"/>
  <c r="L38" i="6"/>
  <c r="U38" i="6" s="1"/>
  <c r="O37" i="6"/>
  <c r="N37" i="6"/>
  <c r="M37" i="6"/>
  <c r="L37" i="6"/>
  <c r="U37" i="6" s="1"/>
  <c r="O36" i="6"/>
  <c r="N36" i="6"/>
  <c r="M36" i="6"/>
  <c r="L36" i="6"/>
  <c r="U36" i="6" s="1"/>
  <c r="O35" i="6"/>
  <c r="N35" i="6"/>
  <c r="M35" i="6"/>
  <c r="L35" i="6"/>
  <c r="U35" i="6" s="1"/>
  <c r="O34" i="6"/>
  <c r="N34" i="6"/>
  <c r="M34" i="6"/>
  <c r="L34" i="6"/>
  <c r="U34" i="6" s="1"/>
  <c r="O33" i="6"/>
  <c r="N33" i="6"/>
  <c r="M33" i="6"/>
  <c r="L33" i="6"/>
  <c r="U33" i="6" s="1"/>
  <c r="O32" i="6"/>
  <c r="N32" i="6"/>
  <c r="M32" i="6"/>
  <c r="L32" i="6"/>
  <c r="U32" i="6" s="1"/>
  <c r="O31" i="6"/>
  <c r="N31" i="6"/>
  <c r="M31" i="6"/>
  <c r="L31" i="6"/>
  <c r="U31" i="6" s="1"/>
  <c r="O30" i="6"/>
  <c r="N30" i="6"/>
  <c r="M30" i="6"/>
  <c r="L30" i="6"/>
  <c r="U30" i="6" s="1"/>
  <c r="O29" i="6"/>
  <c r="N29" i="6"/>
  <c r="M29" i="6"/>
  <c r="L29" i="6"/>
  <c r="U29" i="6" s="1"/>
  <c r="O28" i="6"/>
  <c r="N28" i="6"/>
  <c r="M28" i="6"/>
  <c r="L28" i="6"/>
  <c r="U28" i="6" s="1"/>
  <c r="O27" i="6"/>
  <c r="N27" i="6"/>
  <c r="M27" i="6"/>
  <c r="L27" i="6"/>
  <c r="U27" i="6" s="1"/>
  <c r="O26" i="6"/>
  <c r="N26" i="6"/>
  <c r="M26" i="6"/>
  <c r="L26" i="6"/>
  <c r="U26" i="6" s="1"/>
  <c r="O25" i="6"/>
  <c r="N25" i="6"/>
  <c r="M25" i="6"/>
  <c r="L25" i="6"/>
  <c r="U25" i="6" s="1"/>
  <c r="O24" i="6"/>
  <c r="N24" i="6"/>
  <c r="M24" i="6"/>
  <c r="L24" i="6"/>
  <c r="U24" i="6" s="1"/>
  <c r="O23" i="6"/>
  <c r="N23" i="6"/>
  <c r="M23" i="6"/>
  <c r="L23" i="6"/>
  <c r="U23" i="6" s="1"/>
  <c r="O22" i="6"/>
  <c r="N22" i="6"/>
  <c r="M22" i="6"/>
  <c r="L22" i="6"/>
  <c r="U22" i="6" s="1"/>
  <c r="O21" i="6"/>
  <c r="N21" i="6"/>
  <c r="M21" i="6"/>
  <c r="L21" i="6"/>
  <c r="U21" i="6" s="1"/>
  <c r="O20" i="6"/>
  <c r="N20" i="6"/>
  <c r="M20" i="6"/>
  <c r="L20" i="6"/>
  <c r="U20" i="6" s="1"/>
  <c r="O19" i="6"/>
  <c r="N19" i="6"/>
  <c r="M19" i="6"/>
  <c r="L19" i="6"/>
  <c r="U19" i="6" s="1"/>
  <c r="O18" i="6"/>
  <c r="N18" i="6"/>
  <c r="M18" i="6"/>
  <c r="L18" i="6"/>
  <c r="O17" i="6"/>
  <c r="N17" i="6"/>
  <c r="M17" i="6"/>
  <c r="L17" i="6"/>
  <c r="U17" i="6" s="1"/>
  <c r="O16" i="6"/>
  <c r="N16" i="6"/>
  <c r="M16" i="6"/>
  <c r="L16" i="6"/>
  <c r="U16" i="6" s="1"/>
  <c r="O15" i="6"/>
  <c r="N15" i="6"/>
  <c r="M15" i="6"/>
  <c r="L15" i="6"/>
  <c r="U15" i="6" s="1"/>
  <c r="O14" i="6"/>
  <c r="N14" i="6"/>
  <c r="M14" i="6"/>
  <c r="L14" i="6"/>
  <c r="U14" i="6" s="1"/>
  <c r="O13" i="6"/>
  <c r="N13" i="6"/>
  <c r="M13" i="6"/>
  <c r="L13" i="6"/>
  <c r="U13" i="6" s="1"/>
  <c r="O12" i="6"/>
  <c r="N12" i="6"/>
  <c r="M12" i="6"/>
  <c r="L12" i="6"/>
  <c r="U12" i="6" s="1"/>
  <c r="O11" i="6"/>
  <c r="N11" i="6"/>
  <c r="M11" i="6"/>
  <c r="L11" i="6"/>
  <c r="U11" i="6" s="1"/>
  <c r="O10" i="6"/>
  <c r="N10" i="6"/>
  <c r="M10" i="6"/>
  <c r="L10" i="6"/>
  <c r="U10" i="6" s="1"/>
  <c r="O9" i="6"/>
  <c r="N9" i="6"/>
  <c r="M9" i="6"/>
  <c r="L9" i="6"/>
  <c r="U9" i="6" s="1"/>
  <c r="O8" i="6"/>
  <c r="N8" i="6"/>
  <c r="M8" i="6"/>
  <c r="L8" i="6"/>
  <c r="U8" i="6" s="1"/>
  <c r="O7" i="6"/>
  <c r="N7" i="6"/>
  <c r="M7" i="6"/>
  <c r="L7" i="6"/>
  <c r="U7" i="6" s="1"/>
  <c r="O6" i="6"/>
  <c r="N6" i="6"/>
  <c r="M6" i="6"/>
  <c r="L6" i="6"/>
  <c r="U6" i="6" s="1"/>
  <c r="O5" i="6"/>
  <c r="N5" i="6"/>
  <c r="M5" i="6"/>
  <c r="L5" i="6"/>
  <c r="U5" i="6" s="1"/>
  <c r="O4" i="6"/>
  <c r="N4" i="6"/>
  <c r="M4" i="6"/>
  <c r="L4" i="6"/>
  <c r="U4" i="6" s="1"/>
  <c r="O3" i="6"/>
  <c r="N3" i="6"/>
  <c r="M3" i="6"/>
  <c r="L3" i="6"/>
  <c r="Q38" i="7"/>
  <c r="P38" i="7"/>
  <c r="O38" i="7"/>
  <c r="N38" i="7"/>
  <c r="M38" i="7"/>
  <c r="L38" i="7"/>
  <c r="U38" i="7" s="1"/>
  <c r="Q37" i="7"/>
  <c r="P37" i="7"/>
  <c r="O37" i="7"/>
  <c r="N37" i="7"/>
  <c r="M37" i="7"/>
  <c r="L37" i="7"/>
  <c r="U37" i="7" s="1"/>
  <c r="Q36" i="7"/>
  <c r="P36" i="7"/>
  <c r="O36" i="7"/>
  <c r="N36" i="7"/>
  <c r="M36" i="7"/>
  <c r="L36" i="7"/>
  <c r="U36" i="7" s="1"/>
  <c r="Q35" i="7"/>
  <c r="P35" i="7"/>
  <c r="O35" i="7"/>
  <c r="N35" i="7"/>
  <c r="M35" i="7"/>
  <c r="L35" i="7"/>
  <c r="U35" i="7" s="1"/>
  <c r="Q34" i="7"/>
  <c r="P34" i="7"/>
  <c r="O34" i="7"/>
  <c r="N34" i="7"/>
  <c r="M34" i="7"/>
  <c r="L34" i="7"/>
  <c r="Q33" i="7"/>
  <c r="P33" i="7"/>
  <c r="O33" i="7"/>
  <c r="N33" i="7"/>
  <c r="M33" i="7"/>
  <c r="L33" i="7"/>
  <c r="U33" i="7" s="1"/>
  <c r="Q32" i="7"/>
  <c r="P32" i="7"/>
  <c r="O32" i="7"/>
  <c r="N32" i="7"/>
  <c r="M32" i="7"/>
  <c r="L32" i="7"/>
  <c r="U32" i="7" s="1"/>
  <c r="Q31" i="7"/>
  <c r="P31" i="7"/>
  <c r="O31" i="7"/>
  <c r="N31" i="7"/>
  <c r="M31" i="7"/>
  <c r="L31" i="7"/>
  <c r="U31" i="7" s="1"/>
  <c r="Q30" i="7"/>
  <c r="P30" i="7"/>
  <c r="O30" i="7"/>
  <c r="N30" i="7"/>
  <c r="M30" i="7"/>
  <c r="L30" i="7"/>
  <c r="U30" i="7" s="1"/>
  <c r="Q29" i="7"/>
  <c r="P29" i="7"/>
  <c r="O29" i="7"/>
  <c r="N29" i="7"/>
  <c r="M29" i="7"/>
  <c r="L29" i="7"/>
  <c r="U29" i="7" s="1"/>
  <c r="Q28" i="7"/>
  <c r="P28" i="7"/>
  <c r="O28" i="7"/>
  <c r="N28" i="7"/>
  <c r="M28" i="7"/>
  <c r="L28" i="7"/>
  <c r="U28" i="7" s="1"/>
  <c r="Q27" i="7"/>
  <c r="P27" i="7"/>
  <c r="O27" i="7"/>
  <c r="N27" i="7"/>
  <c r="M27" i="7"/>
  <c r="L27" i="7"/>
  <c r="U27" i="7" s="1"/>
  <c r="Q26" i="7"/>
  <c r="P26" i="7"/>
  <c r="O26" i="7"/>
  <c r="N26" i="7"/>
  <c r="M26" i="7"/>
  <c r="L26" i="7"/>
  <c r="Q25" i="7"/>
  <c r="P25" i="7"/>
  <c r="O25" i="7"/>
  <c r="N25" i="7"/>
  <c r="M25" i="7"/>
  <c r="L25" i="7"/>
  <c r="U25" i="7" s="1"/>
  <c r="Q24" i="7"/>
  <c r="P24" i="7"/>
  <c r="O24" i="7"/>
  <c r="N24" i="7"/>
  <c r="M24" i="7"/>
  <c r="L24" i="7"/>
  <c r="U24" i="7" s="1"/>
  <c r="Q23" i="7"/>
  <c r="P23" i="7"/>
  <c r="O23" i="7"/>
  <c r="N23" i="7"/>
  <c r="M23" i="7"/>
  <c r="L23" i="7"/>
  <c r="U23" i="7" s="1"/>
  <c r="Q22" i="7"/>
  <c r="P22" i="7"/>
  <c r="O22" i="7"/>
  <c r="N22" i="7"/>
  <c r="M22" i="7"/>
  <c r="L22" i="7"/>
  <c r="U22" i="7" s="1"/>
  <c r="Q21" i="7"/>
  <c r="P21" i="7"/>
  <c r="O21" i="7"/>
  <c r="N21" i="7"/>
  <c r="M21" i="7"/>
  <c r="L21" i="7"/>
  <c r="U21" i="7" s="1"/>
  <c r="Q20" i="7"/>
  <c r="P20" i="7"/>
  <c r="O20" i="7"/>
  <c r="N20" i="7"/>
  <c r="M20" i="7"/>
  <c r="L20" i="7"/>
  <c r="U20" i="7" s="1"/>
  <c r="Q19" i="7"/>
  <c r="P19" i="7"/>
  <c r="O19" i="7"/>
  <c r="N19" i="7"/>
  <c r="M19" i="7"/>
  <c r="L19" i="7"/>
  <c r="U19" i="7" s="1"/>
  <c r="Q18" i="7"/>
  <c r="P18" i="7"/>
  <c r="O18" i="7"/>
  <c r="N18" i="7"/>
  <c r="M18" i="7"/>
  <c r="L18" i="7"/>
  <c r="Q17" i="7"/>
  <c r="P17" i="7"/>
  <c r="O17" i="7"/>
  <c r="N17" i="7"/>
  <c r="M17" i="7"/>
  <c r="L17" i="7"/>
  <c r="U17" i="7" s="1"/>
  <c r="Q16" i="7"/>
  <c r="P16" i="7"/>
  <c r="O16" i="7"/>
  <c r="N16" i="7"/>
  <c r="M16" i="7"/>
  <c r="L16" i="7"/>
  <c r="U16" i="7" s="1"/>
  <c r="Q15" i="7"/>
  <c r="P15" i="7"/>
  <c r="O15" i="7"/>
  <c r="N15" i="7"/>
  <c r="M15" i="7"/>
  <c r="L15" i="7"/>
  <c r="U15" i="7" s="1"/>
  <c r="Q14" i="7"/>
  <c r="P14" i="7"/>
  <c r="O14" i="7"/>
  <c r="N14" i="7"/>
  <c r="M14" i="7"/>
  <c r="L14" i="7"/>
  <c r="U14" i="7" s="1"/>
  <c r="Q13" i="7"/>
  <c r="P13" i="7"/>
  <c r="O13" i="7"/>
  <c r="N13" i="7"/>
  <c r="M13" i="7"/>
  <c r="L13" i="7"/>
  <c r="U13" i="7" s="1"/>
  <c r="Q12" i="7"/>
  <c r="P12" i="7"/>
  <c r="O12" i="7"/>
  <c r="N12" i="7"/>
  <c r="M12" i="7"/>
  <c r="L12" i="7"/>
  <c r="U12" i="7" s="1"/>
  <c r="Q11" i="7"/>
  <c r="P11" i="7"/>
  <c r="O11" i="7"/>
  <c r="N11" i="7"/>
  <c r="M11" i="7"/>
  <c r="L11" i="7"/>
  <c r="U11" i="7" s="1"/>
  <c r="Q10" i="7"/>
  <c r="P10" i="7"/>
  <c r="O10" i="7"/>
  <c r="N10" i="7"/>
  <c r="M10" i="7"/>
  <c r="U10" i="7" s="1"/>
  <c r="L10" i="7"/>
  <c r="Q9" i="7"/>
  <c r="P9" i="7"/>
  <c r="O9" i="7"/>
  <c r="N9" i="7"/>
  <c r="M9" i="7"/>
  <c r="L9" i="7"/>
  <c r="U9" i="7" s="1"/>
  <c r="Q8" i="7"/>
  <c r="P8" i="7"/>
  <c r="O8" i="7"/>
  <c r="N8" i="7"/>
  <c r="M8" i="7"/>
  <c r="L8" i="7"/>
  <c r="U8" i="7" s="1"/>
  <c r="Q7" i="7"/>
  <c r="P7" i="7"/>
  <c r="O7" i="7"/>
  <c r="N7" i="7"/>
  <c r="M7" i="7"/>
  <c r="L7" i="7"/>
  <c r="U7" i="7" s="1"/>
  <c r="Q6" i="7"/>
  <c r="P6" i="7"/>
  <c r="O6" i="7"/>
  <c r="N6" i="7"/>
  <c r="M6" i="7"/>
  <c r="L6" i="7"/>
  <c r="U6" i="7" s="1"/>
  <c r="Q5" i="7"/>
  <c r="P5" i="7"/>
  <c r="O5" i="7"/>
  <c r="N5" i="7"/>
  <c r="M5" i="7"/>
  <c r="L5" i="7"/>
  <c r="U5" i="7" s="1"/>
  <c r="Q4" i="7"/>
  <c r="P4" i="7"/>
  <c r="O4" i="7"/>
  <c r="N4" i="7"/>
  <c r="M4" i="7"/>
  <c r="L4" i="7"/>
  <c r="U4" i="7" s="1"/>
  <c r="Q3" i="7"/>
  <c r="P3" i="7"/>
  <c r="O3" i="7"/>
  <c r="N3" i="7"/>
  <c r="M3" i="7"/>
  <c r="L3" i="7"/>
  <c r="P38" i="8"/>
  <c r="O38" i="8"/>
  <c r="N38" i="8"/>
  <c r="M38" i="8"/>
  <c r="L38" i="8"/>
  <c r="U38" i="8" s="1"/>
  <c r="P37" i="8"/>
  <c r="O37" i="8"/>
  <c r="N37" i="8"/>
  <c r="M37" i="8"/>
  <c r="L37" i="8"/>
  <c r="U37" i="8" s="1"/>
  <c r="P36" i="8"/>
  <c r="O36" i="8"/>
  <c r="N36" i="8"/>
  <c r="M36" i="8"/>
  <c r="L36" i="8"/>
  <c r="P35" i="8"/>
  <c r="O35" i="8"/>
  <c r="N35" i="8"/>
  <c r="M35" i="8"/>
  <c r="L35" i="8"/>
  <c r="U35" i="8" s="1"/>
  <c r="P34" i="8"/>
  <c r="O34" i="8"/>
  <c r="N34" i="8"/>
  <c r="M34" i="8"/>
  <c r="L34" i="8"/>
  <c r="U34" i="8" s="1"/>
  <c r="P33" i="8"/>
  <c r="O33" i="8"/>
  <c r="N33" i="8"/>
  <c r="M33" i="8"/>
  <c r="L33" i="8"/>
  <c r="U33" i="8" s="1"/>
  <c r="P32" i="8"/>
  <c r="O32" i="8"/>
  <c r="N32" i="8"/>
  <c r="M32" i="8"/>
  <c r="L32" i="8"/>
  <c r="U32" i="8" s="1"/>
  <c r="P31" i="8"/>
  <c r="O31" i="8"/>
  <c r="N31" i="8"/>
  <c r="M31" i="8"/>
  <c r="L31" i="8"/>
  <c r="U31" i="8" s="1"/>
  <c r="P30" i="8"/>
  <c r="O30" i="8"/>
  <c r="N30" i="8"/>
  <c r="M30" i="8"/>
  <c r="L30" i="8"/>
  <c r="U30" i="8" s="1"/>
  <c r="P29" i="8"/>
  <c r="O29" i="8"/>
  <c r="N29" i="8"/>
  <c r="M29" i="8"/>
  <c r="L29" i="8"/>
  <c r="U29" i="8" s="1"/>
  <c r="P28" i="8"/>
  <c r="O28" i="8"/>
  <c r="N28" i="8"/>
  <c r="M28" i="8"/>
  <c r="L28" i="8"/>
  <c r="P27" i="8"/>
  <c r="O27" i="8"/>
  <c r="N27" i="8"/>
  <c r="M27" i="8"/>
  <c r="L27" i="8"/>
  <c r="U27" i="8" s="1"/>
  <c r="P26" i="8"/>
  <c r="O26" i="8"/>
  <c r="N26" i="8"/>
  <c r="M26" i="8"/>
  <c r="L26" i="8"/>
  <c r="U26" i="8" s="1"/>
  <c r="P25" i="8"/>
  <c r="O25" i="8"/>
  <c r="N25" i="8"/>
  <c r="M25" i="8"/>
  <c r="L25" i="8"/>
  <c r="U25" i="8" s="1"/>
  <c r="P24" i="8"/>
  <c r="O24" i="8"/>
  <c r="N24" i="8"/>
  <c r="M24" i="8"/>
  <c r="L24" i="8"/>
  <c r="U24" i="8" s="1"/>
  <c r="P23" i="8"/>
  <c r="O23" i="8"/>
  <c r="N23" i="8"/>
  <c r="M23" i="8"/>
  <c r="L23" i="8"/>
  <c r="U23" i="8" s="1"/>
  <c r="P22" i="8"/>
  <c r="O22" i="8"/>
  <c r="N22" i="8"/>
  <c r="M22" i="8"/>
  <c r="L22" i="8"/>
  <c r="U22" i="8" s="1"/>
  <c r="P21" i="8"/>
  <c r="O21" i="8"/>
  <c r="N21" i="8"/>
  <c r="M21" i="8"/>
  <c r="L21" i="8"/>
  <c r="U21" i="8" s="1"/>
  <c r="P20" i="8"/>
  <c r="O20" i="8"/>
  <c r="N20" i="8"/>
  <c r="M20" i="8"/>
  <c r="L20" i="8"/>
  <c r="P19" i="8"/>
  <c r="O19" i="8"/>
  <c r="N19" i="8"/>
  <c r="M19" i="8"/>
  <c r="L19" i="8"/>
  <c r="U19" i="8" s="1"/>
  <c r="P18" i="8"/>
  <c r="O18" i="8"/>
  <c r="N18" i="8"/>
  <c r="M18" i="8"/>
  <c r="L18" i="8"/>
  <c r="U18" i="8" s="1"/>
  <c r="P17" i="8"/>
  <c r="O17" i="8"/>
  <c r="N17" i="8"/>
  <c r="M17" i="8"/>
  <c r="L17" i="8"/>
  <c r="U17" i="8" s="1"/>
  <c r="P16" i="8"/>
  <c r="O16" i="8"/>
  <c r="N16" i="8"/>
  <c r="M16" i="8"/>
  <c r="L16" i="8"/>
  <c r="U16" i="8" s="1"/>
  <c r="P15" i="8"/>
  <c r="O15" i="8"/>
  <c r="N15" i="8"/>
  <c r="M15" i="8"/>
  <c r="L15" i="8"/>
  <c r="U15" i="8" s="1"/>
  <c r="P14" i="8"/>
  <c r="O14" i="8"/>
  <c r="N14" i="8"/>
  <c r="M14" i="8"/>
  <c r="L14" i="8"/>
  <c r="U14" i="8" s="1"/>
  <c r="P13" i="8"/>
  <c r="O13" i="8"/>
  <c r="N13" i="8"/>
  <c r="M13" i="8"/>
  <c r="L13" i="8"/>
  <c r="U13" i="8" s="1"/>
  <c r="P12" i="8"/>
  <c r="O12" i="8"/>
  <c r="N12" i="8"/>
  <c r="M12" i="8"/>
  <c r="L12" i="8"/>
  <c r="P11" i="8"/>
  <c r="O11" i="8"/>
  <c r="N11" i="8"/>
  <c r="M11" i="8"/>
  <c r="L11" i="8"/>
  <c r="U11" i="8" s="1"/>
  <c r="P10" i="8"/>
  <c r="O10" i="8"/>
  <c r="N10" i="8"/>
  <c r="M10" i="8"/>
  <c r="L10" i="8"/>
  <c r="U10" i="8" s="1"/>
  <c r="P9" i="8"/>
  <c r="O9" i="8"/>
  <c r="N9" i="8"/>
  <c r="M9" i="8"/>
  <c r="L9" i="8"/>
  <c r="U9" i="8" s="1"/>
  <c r="P8" i="8"/>
  <c r="O8" i="8"/>
  <c r="N8" i="8"/>
  <c r="M8" i="8"/>
  <c r="L8" i="8"/>
  <c r="U8" i="8" s="1"/>
  <c r="P7" i="8"/>
  <c r="O7" i="8"/>
  <c r="N7" i="8"/>
  <c r="M7" i="8"/>
  <c r="L7" i="8"/>
  <c r="U7" i="8" s="1"/>
  <c r="P6" i="8"/>
  <c r="O6" i="8"/>
  <c r="N6" i="8"/>
  <c r="M6" i="8"/>
  <c r="L6" i="8"/>
  <c r="U6" i="8" s="1"/>
  <c r="P5" i="8"/>
  <c r="O5" i="8"/>
  <c r="N5" i="8"/>
  <c r="M5" i="8"/>
  <c r="L5" i="8"/>
  <c r="U5" i="8" s="1"/>
  <c r="P4" i="8"/>
  <c r="O4" i="8"/>
  <c r="N4" i="8"/>
  <c r="M4" i="8"/>
  <c r="L4" i="8"/>
  <c r="P3" i="8"/>
  <c r="O3" i="8"/>
  <c r="N3" i="8"/>
  <c r="M3" i="8"/>
  <c r="L3" i="8"/>
  <c r="L4" i="9"/>
  <c r="U4" i="9" s="1"/>
  <c r="M4" i="9"/>
  <c r="N4" i="9"/>
  <c r="O4" i="9"/>
  <c r="P4" i="9"/>
  <c r="Q4" i="9"/>
  <c r="R4" i="9"/>
  <c r="S4" i="9"/>
  <c r="L5" i="9"/>
  <c r="U5" i="9" s="1"/>
  <c r="M5" i="9"/>
  <c r="N5" i="9"/>
  <c r="O5" i="9"/>
  <c r="P5" i="9"/>
  <c r="Q5" i="9"/>
  <c r="R5" i="9"/>
  <c r="S5" i="9"/>
  <c r="L6" i="9"/>
  <c r="M6" i="9"/>
  <c r="N6" i="9"/>
  <c r="O6" i="9"/>
  <c r="P6" i="9"/>
  <c r="Q6" i="9"/>
  <c r="R6" i="9"/>
  <c r="S6" i="9"/>
  <c r="L7" i="9"/>
  <c r="M7" i="9"/>
  <c r="N7" i="9"/>
  <c r="O7" i="9"/>
  <c r="P7" i="9"/>
  <c r="Q7" i="9"/>
  <c r="R7" i="9"/>
  <c r="S7" i="9"/>
  <c r="L8" i="9"/>
  <c r="M8" i="9"/>
  <c r="N8" i="9"/>
  <c r="O8" i="9"/>
  <c r="P8" i="9"/>
  <c r="Q8" i="9"/>
  <c r="R8" i="9"/>
  <c r="S8" i="9"/>
  <c r="L9" i="9"/>
  <c r="M9" i="9"/>
  <c r="N9" i="9"/>
  <c r="O9" i="9"/>
  <c r="P9" i="9"/>
  <c r="Q9" i="9"/>
  <c r="R9" i="9"/>
  <c r="S9" i="9"/>
  <c r="L10" i="9"/>
  <c r="M10" i="9"/>
  <c r="N10" i="9"/>
  <c r="O10" i="9"/>
  <c r="P10" i="9"/>
  <c r="Q10" i="9"/>
  <c r="R10" i="9"/>
  <c r="S10" i="9"/>
  <c r="L11" i="9"/>
  <c r="M11" i="9"/>
  <c r="N11" i="9"/>
  <c r="O11" i="9"/>
  <c r="P11" i="9"/>
  <c r="Q11" i="9"/>
  <c r="R11" i="9"/>
  <c r="S11" i="9"/>
  <c r="L12" i="9"/>
  <c r="M12" i="9"/>
  <c r="N12" i="9"/>
  <c r="O12" i="9"/>
  <c r="P12" i="9"/>
  <c r="Q12" i="9"/>
  <c r="R12" i="9"/>
  <c r="S12" i="9"/>
  <c r="L13" i="9"/>
  <c r="M13" i="9"/>
  <c r="N13" i="9"/>
  <c r="O13" i="9"/>
  <c r="P13" i="9"/>
  <c r="Q13" i="9"/>
  <c r="R13" i="9"/>
  <c r="S13" i="9"/>
  <c r="L14" i="9"/>
  <c r="M14" i="9"/>
  <c r="N14" i="9"/>
  <c r="O14" i="9"/>
  <c r="P14" i="9"/>
  <c r="Q14" i="9"/>
  <c r="R14" i="9"/>
  <c r="S14" i="9"/>
  <c r="L15" i="9"/>
  <c r="M15" i="9"/>
  <c r="N15" i="9"/>
  <c r="O15" i="9"/>
  <c r="P15" i="9"/>
  <c r="Q15" i="9"/>
  <c r="R15" i="9"/>
  <c r="S15" i="9"/>
  <c r="L16" i="9"/>
  <c r="M16" i="9"/>
  <c r="N16" i="9"/>
  <c r="O16" i="9"/>
  <c r="P16" i="9"/>
  <c r="Q16" i="9"/>
  <c r="R16" i="9"/>
  <c r="S16" i="9"/>
  <c r="L17" i="9"/>
  <c r="M17" i="9"/>
  <c r="N17" i="9"/>
  <c r="O17" i="9"/>
  <c r="P17" i="9"/>
  <c r="Q17" i="9"/>
  <c r="R17" i="9"/>
  <c r="S17" i="9"/>
  <c r="L18" i="9"/>
  <c r="M18" i="9"/>
  <c r="N18" i="9"/>
  <c r="O18" i="9"/>
  <c r="P18" i="9"/>
  <c r="Q18" i="9"/>
  <c r="R18" i="9"/>
  <c r="S18" i="9"/>
  <c r="L19" i="9"/>
  <c r="M19" i="9"/>
  <c r="N19" i="9"/>
  <c r="O19" i="9"/>
  <c r="P19" i="9"/>
  <c r="Q19" i="9"/>
  <c r="R19" i="9"/>
  <c r="S19" i="9"/>
  <c r="L20" i="9"/>
  <c r="M20" i="9"/>
  <c r="N20" i="9"/>
  <c r="O20" i="9"/>
  <c r="P20" i="9"/>
  <c r="Q20" i="9"/>
  <c r="R20" i="9"/>
  <c r="S20" i="9"/>
  <c r="L21" i="9"/>
  <c r="M21" i="9"/>
  <c r="N21" i="9"/>
  <c r="O21" i="9"/>
  <c r="P21" i="9"/>
  <c r="Q21" i="9"/>
  <c r="R21" i="9"/>
  <c r="S21" i="9"/>
  <c r="L22" i="9"/>
  <c r="M22" i="9"/>
  <c r="N22" i="9"/>
  <c r="O22" i="9"/>
  <c r="P22" i="9"/>
  <c r="Q22" i="9"/>
  <c r="R22" i="9"/>
  <c r="S22" i="9"/>
  <c r="L23" i="9"/>
  <c r="M23" i="9"/>
  <c r="N23" i="9"/>
  <c r="O23" i="9"/>
  <c r="P23" i="9"/>
  <c r="Q23" i="9"/>
  <c r="R23" i="9"/>
  <c r="S23" i="9"/>
  <c r="L24" i="9"/>
  <c r="M24" i="9"/>
  <c r="N24" i="9"/>
  <c r="O24" i="9"/>
  <c r="P24" i="9"/>
  <c r="Q24" i="9"/>
  <c r="R24" i="9"/>
  <c r="S24" i="9"/>
  <c r="L25" i="9"/>
  <c r="M25" i="9"/>
  <c r="N25" i="9"/>
  <c r="O25" i="9"/>
  <c r="P25" i="9"/>
  <c r="Q25" i="9"/>
  <c r="R25" i="9"/>
  <c r="S25" i="9"/>
  <c r="L26" i="9"/>
  <c r="M26" i="9"/>
  <c r="N26" i="9"/>
  <c r="O26" i="9"/>
  <c r="P26" i="9"/>
  <c r="Q26" i="9"/>
  <c r="R26" i="9"/>
  <c r="S26" i="9"/>
  <c r="L27" i="9"/>
  <c r="M27" i="9"/>
  <c r="N27" i="9"/>
  <c r="O27" i="9"/>
  <c r="P27" i="9"/>
  <c r="Q27" i="9"/>
  <c r="R27" i="9"/>
  <c r="S27" i="9"/>
  <c r="L28" i="9"/>
  <c r="M28" i="9"/>
  <c r="N28" i="9"/>
  <c r="O28" i="9"/>
  <c r="P28" i="9"/>
  <c r="Q28" i="9"/>
  <c r="R28" i="9"/>
  <c r="S28" i="9"/>
  <c r="L29" i="9"/>
  <c r="M29" i="9"/>
  <c r="N29" i="9"/>
  <c r="O29" i="9"/>
  <c r="P29" i="9"/>
  <c r="Q29" i="9"/>
  <c r="R29" i="9"/>
  <c r="S29" i="9"/>
  <c r="L30" i="9"/>
  <c r="M30" i="9"/>
  <c r="N30" i="9"/>
  <c r="O30" i="9"/>
  <c r="P30" i="9"/>
  <c r="Q30" i="9"/>
  <c r="R30" i="9"/>
  <c r="S30" i="9"/>
  <c r="L31" i="9"/>
  <c r="M31" i="9"/>
  <c r="N31" i="9"/>
  <c r="O31" i="9"/>
  <c r="P31" i="9"/>
  <c r="Q31" i="9"/>
  <c r="R31" i="9"/>
  <c r="S31" i="9"/>
  <c r="L32" i="9"/>
  <c r="M32" i="9"/>
  <c r="N32" i="9"/>
  <c r="O32" i="9"/>
  <c r="P32" i="9"/>
  <c r="Q32" i="9"/>
  <c r="R32" i="9"/>
  <c r="S32" i="9"/>
  <c r="L33" i="9"/>
  <c r="M33" i="9"/>
  <c r="N33" i="9"/>
  <c r="O33" i="9"/>
  <c r="P33" i="9"/>
  <c r="Q33" i="9"/>
  <c r="R33" i="9"/>
  <c r="S33" i="9"/>
  <c r="L34" i="9"/>
  <c r="M34" i="9"/>
  <c r="N34" i="9"/>
  <c r="O34" i="9"/>
  <c r="P34" i="9"/>
  <c r="Q34" i="9"/>
  <c r="R34" i="9"/>
  <c r="S34" i="9"/>
  <c r="L35" i="9"/>
  <c r="M35" i="9"/>
  <c r="N35" i="9"/>
  <c r="O35" i="9"/>
  <c r="P35" i="9"/>
  <c r="Q35" i="9"/>
  <c r="R35" i="9"/>
  <c r="S35" i="9"/>
  <c r="L36" i="9"/>
  <c r="M36" i="9"/>
  <c r="N36" i="9"/>
  <c r="O36" i="9"/>
  <c r="P36" i="9"/>
  <c r="Q36" i="9"/>
  <c r="R36" i="9"/>
  <c r="S36" i="9"/>
  <c r="L37" i="9"/>
  <c r="M37" i="9"/>
  <c r="N37" i="9"/>
  <c r="O37" i="9"/>
  <c r="P37" i="9"/>
  <c r="Q37" i="9"/>
  <c r="R37" i="9"/>
  <c r="S37" i="9"/>
  <c r="L38" i="9"/>
  <c r="M38" i="9"/>
  <c r="N38" i="9"/>
  <c r="O38" i="9"/>
  <c r="P38" i="9"/>
  <c r="Q38" i="9"/>
  <c r="R38" i="9"/>
  <c r="S38" i="9"/>
  <c r="M3" i="9"/>
  <c r="N3" i="9"/>
  <c r="O3" i="9"/>
  <c r="P3" i="9"/>
  <c r="Q3" i="9"/>
  <c r="R3" i="9"/>
  <c r="S3" i="9"/>
  <c r="L3" i="9"/>
  <c r="U35" i="2" l="1"/>
  <c r="U31" i="2"/>
  <c r="U27" i="2"/>
  <c r="U23" i="2"/>
  <c r="U19" i="2"/>
  <c r="U15" i="2"/>
  <c r="U11" i="2"/>
  <c r="U7" i="2"/>
  <c r="U3" i="2"/>
  <c r="U38" i="3"/>
  <c r="U34" i="3"/>
  <c r="U30" i="3"/>
  <c r="U26" i="3"/>
  <c r="U18" i="3"/>
  <c r="U14" i="3"/>
  <c r="U10" i="3"/>
  <c r="U6" i="3"/>
  <c r="U3" i="3"/>
  <c r="U35" i="4"/>
  <c r="U27" i="4"/>
  <c r="U19" i="4"/>
  <c r="U11" i="4"/>
  <c r="U3" i="4"/>
  <c r="U18" i="7"/>
  <c r="U18" i="6"/>
  <c r="U3" i="6"/>
  <c r="U34" i="7"/>
  <c r="U26" i="7"/>
  <c r="U3" i="7"/>
  <c r="U36" i="8"/>
  <c r="U28" i="8"/>
  <c r="U20" i="8"/>
  <c r="U12" i="8"/>
  <c r="U4" i="8"/>
  <c r="U3" i="8"/>
  <c r="E68" i="11"/>
  <c r="E74" i="11"/>
  <c r="E45" i="11"/>
  <c r="E57" i="11"/>
  <c r="E63" i="11"/>
  <c r="E48" i="11"/>
  <c r="E55" i="11"/>
  <c r="E59" i="11"/>
  <c r="E46" i="11"/>
  <c r="E40" i="11"/>
  <c r="E42" i="11"/>
  <c r="E52" i="11"/>
  <c r="T38" i="9"/>
  <c r="AC38" i="9" s="1"/>
  <c r="T37" i="9"/>
  <c r="AC37" i="9" s="1"/>
  <c r="T36" i="9"/>
  <c r="AC36" i="9" s="1"/>
  <c r="T35" i="9"/>
  <c r="V35" i="9" s="1"/>
  <c r="T34" i="9"/>
  <c r="AC34" i="9" s="1"/>
  <c r="T33" i="9"/>
  <c r="Z33" i="9" s="1"/>
  <c r="T32" i="9"/>
  <c r="AA32" i="9" s="1"/>
  <c r="T31" i="9"/>
  <c r="AB31" i="9" s="1"/>
  <c r="T30" i="9"/>
  <c r="AC30" i="9" s="1"/>
  <c r="T29" i="9"/>
  <c r="AC29" i="9" s="1"/>
  <c r="T28" i="9"/>
  <c r="AC28" i="9" s="1"/>
  <c r="T27" i="9"/>
  <c r="V27" i="9" s="1"/>
  <c r="T26" i="9"/>
  <c r="AC26" i="9" s="1"/>
  <c r="T25" i="9"/>
  <c r="Z25" i="9" s="1"/>
  <c r="T24" i="9"/>
  <c r="AA24" i="9" s="1"/>
  <c r="T23" i="9"/>
  <c r="AB23" i="9" s="1"/>
  <c r="T22" i="9"/>
  <c r="AC22" i="9" s="1"/>
  <c r="T21" i="9"/>
  <c r="AC21" i="9" s="1"/>
  <c r="T20" i="9"/>
  <c r="AC20" i="9" s="1"/>
  <c r="T19" i="9"/>
  <c r="V19" i="9" s="1"/>
  <c r="T18" i="9"/>
  <c r="AC18" i="9" s="1"/>
  <c r="T17" i="9"/>
  <c r="Y17" i="9" s="1"/>
  <c r="T16" i="9"/>
  <c r="AA16" i="9" s="1"/>
  <c r="T15" i="9"/>
  <c r="AB15" i="9" s="1"/>
  <c r="T14" i="9"/>
  <c r="AC14" i="9" s="1"/>
  <c r="T13" i="9"/>
  <c r="AC13" i="9" s="1"/>
  <c r="T12" i="9"/>
  <c r="V12" i="9" s="1"/>
  <c r="T11" i="9"/>
  <c r="W11" i="9" s="1"/>
  <c r="T10" i="9"/>
  <c r="X10" i="9" s="1"/>
  <c r="T9" i="9"/>
  <c r="Y9" i="9" s="1"/>
  <c r="T8" i="9"/>
  <c r="AA8" i="9" s="1"/>
  <c r="T7" i="9"/>
  <c r="AB7" i="9" s="1"/>
  <c r="T6" i="9"/>
  <c r="AC6" i="9" s="1"/>
  <c r="T5" i="9"/>
  <c r="AC5" i="9" s="1"/>
  <c r="T4" i="9"/>
  <c r="V4" i="9" s="1"/>
  <c r="T3" i="9"/>
  <c r="W3" i="9" s="1"/>
  <c r="T38" i="8"/>
  <c r="T37" i="8"/>
  <c r="T36" i="8"/>
  <c r="T35" i="8"/>
  <c r="X35" i="8" s="1"/>
  <c r="T34" i="8"/>
  <c r="T33" i="8"/>
  <c r="T32" i="8"/>
  <c r="T31" i="8"/>
  <c r="T30" i="8"/>
  <c r="T29" i="8"/>
  <c r="T28" i="8"/>
  <c r="T27" i="8"/>
  <c r="X27" i="8" s="1"/>
  <c r="T26" i="8"/>
  <c r="T25" i="8"/>
  <c r="T24" i="8"/>
  <c r="T23" i="8"/>
  <c r="T22" i="8"/>
  <c r="T21" i="8"/>
  <c r="T20" i="8"/>
  <c r="T19" i="8"/>
  <c r="X19" i="8" s="1"/>
  <c r="T18" i="8"/>
  <c r="T17" i="8"/>
  <c r="T16" i="8"/>
  <c r="T15" i="8"/>
  <c r="T14" i="8"/>
  <c r="T13" i="8"/>
  <c r="T12" i="8"/>
  <c r="T11" i="8"/>
  <c r="X11" i="8" s="1"/>
  <c r="T10" i="8"/>
  <c r="T9" i="8"/>
  <c r="T8" i="8"/>
  <c r="V7" i="8"/>
  <c r="T7" i="8"/>
  <c r="Y7" i="8" s="1"/>
  <c r="T6" i="8"/>
  <c r="T5" i="8"/>
  <c r="T4" i="8"/>
  <c r="T3" i="8"/>
  <c r="X3" i="8" s="1"/>
  <c r="T38" i="7"/>
  <c r="T37" i="7"/>
  <c r="T36" i="7"/>
  <c r="W36" i="7" s="1"/>
  <c r="T35" i="7"/>
  <c r="W35" i="7" s="1"/>
  <c r="T34" i="7"/>
  <c r="X34" i="7" s="1"/>
  <c r="T33" i="7"/>
  <c r="Y33" i="7" s="1"/>
  <c r="T32" i="7"/>
  <c r="Z32" i="7" s="1"/>
  <c r="T31" i="7"/>
  <c r="T30" i="7"/>
  <c r="T29" i="7"/>
  <c r="T28" i="7"/>
  <c r="W28" i="7" s="1"/>
  <c r="T27" i="7"/>
  <c r="W27" i="7" s="1"/>
  <c r="T26" i="7"/>
  <c r="X26" i="7" s="1"/>
  <c r="T25" i="7"/>
  <c r="Y25" i="7" s="1"/>
  <c r="T24" i="7"/>
  <c r="Z24" i="7" s="1"/>
  <c r="T23" i="7"/>
  <c r="T22" i="7"/>
  <c r="T21" i="7"/>
  <c r="T20" i="7"/>
  <c r="W20" i="7" s="1"/>
  <c r="T19" i="7"/>
  <c r="W19" i="7" s="1"/>
  <c r="T18" i="7"/>
  <c r="X18" i="7" s="1"/>
  <c r="T17" i="7"/>
  <c r="Y17" i="7" s="1"/>
  <c r="T16" i="7"/>
  <c r="Z16" i="7" s="1"/>
  <c r="T15" i="7"/>
  <c r="T14" i="7"/>
  <c r="T13" i="7"/>
  <c r="T12" i="7"/>
  <c r="W12" i="7" s="1"/>
  <c r="T11" i="7"/>
  <c r="W11" i="7" s="1"/>
  <c r="T10" i="7"/>
  <c r="X10" i="7" s="1"/>
  <c r="T9" i="7"/>
  <c r="Y9" i="7" s="1"/>
  <c r="T8" i="7"/>
  <c r="Z8" i="7" s="1"/>
  <c r="T7" i="7"/>
  <c r="T6" i="7"/>
  <c r="T5" i="7"/>
  <c r="T4" i="7"/>
  <c r="W4" i="7" s="1"/>
  <c r="T3" i="7"/>
  <c r="W3" i="7" s="1"/>
  <c r="T38" i="6"/>
  <c r="T37" i="6"/>
  <c r="V37" i="6" s="1"/>
  <c r="T36" i="6"/>
  <c r="W36" i="6" s="1"/>
  <c r="T35" i="6"/>
  <c r="T34" i="6"/>
  <c r="Y34" i="6" s="1"/>
  <c r="T33" i="6"/>
  <c r="T32" i="6"/>
  <c r="T31" i="6"/>
  <c r="T30" i="6"/>
  <c r="T29" i="6"/>
  <c r="V29" i="6" s="1"/>
  <c r="T28" i="6"/>
  <c r="W28" i="6" s="1"/>
  <c r="T27" i="6"/>
  <c r="T26" i="6"/>
  <c r="Y26" i="6" s="1"/>
  <c r="T25" i="6"/>
  <c r="T24" i="6"/>
  <c r="T23" i="6"/>
  <c r="T22" i="6"/>
  <c r="T21" i="6"/>
  <c r="V21" i="6" s="1"/>
  <c r="T20" i="6"/>
  <c r="W20" i="6" s="1"/>
  <c r="T19" i="6"/>
  <c r="V19" i="6" s="1"/>
  <c r="T18" i="6"/>
  <c r="Y18" i="6" s="1"/>
  <c r="T17" i="6"/>
  <c r="T16" i="6"/>
  <c r="T15" i="6"/>
  <c r="T14" i="6"/>
  <c r="T13" i="6"/>
  <c r="V13" i="6" s="1"/>
  <c r="T12" i="6"/>
  <c r="W12" i="6" s="1"/>
  <c r="T11" i="6"/>
  <c r="X11" i="6" s="1"/>
  <c r="T10" i="6"/>
  <c r="Y10" i="6" s="1"/>
  <c r="T9" i="6"/>
  <c r="T8" i="6"/>
  <c r="T7" i="6"/>
  <c r="T6" i="6"/>
  <c r="T5" i="6"/>
  <c r="V5" i="6" s="1"/>
  <c r="T4" i="6"/>
  <c r="W4" i="6" s="1"/>
  <c r="X3" i="6"/>
  <c r="T38" i="5"/>
  <c r="T37" i="5"/>
  <c r="T36" i="5"/>
  <c r="T35" i="5"/>
  <c r="X35" i="5" s="1"/>
  <c r="T34" i="5"/>
  <c r="Y34" i="5" s="1"/>
  <c r="T33" i="5"/>
  <c r="X33" i="5" s="1"/>
  <c r="T32" i="5"/>
  <c r="Y32" i="5" s="1"/>
  <c r="T31" i="5"/>
  <c r="T30" i="5"/>
  <c r="T29" i="5"/>
  <c r="T28" i="5"/>
  <c r="T27" i="5"/>
  <c r="X27" i="5" s="1"/>
  <c r="T26" i="5"/>
  <c r="Y26" i="5" s="1"/>
  <c r="T25" i="5"/>
  <c r="T24" i="5"/>
  <c r="V24" i="5" s="1"/>
  <c r="T23" i="5"/>
  <c r="T22" i="5"/>
  <c r="T21" i="5"/>
  <c r="T20" i="5"/>
  <c r="T19" i="5"/>
  <c r="X19" i="5" s="1"/>
  <c r="T18" i="5"/>
  <c r="Y18" i="5" s="1"/>
  <c r="T17" i="5"/>
  <c r="T16" i="5"/>
  <c r="Y16" i="5" s="1"/>
  <c r="T15" i="5"/>
  <c r="T14" i="5"/>
  <c r="T13" i="5"/>
  <c r="T12" i="5"/>
  <c r="T11" i="5"/>
  <c r="X11" i="5" s="1"/>
  <c r="T10" i="5"/>
  <c r="Y10" i="5" s="1"/>
  <c r="T9" i="5"/>
  <c r="T8" i="5"/>
  <c r="V8" i="5" s="1"/>
  <c r="T7" i="5"/>
  <c r="T6" i="5"/>
  <c r="T5" i="5"/>
  <c r="V5" i="5" s="1"/>
  <c r="T4" i="5"/>
  <c r="T3" i="5"/>
  <c r="X3" i="5" s="1"/>
  <c r="T38" i="4"/>
  <c r="T37" i="4"/>
  <c r="T36" i="4"/>
  <c r="W36" i="4" s="1"/>
  <c r="T35" i="4"/>
  <c r="X35" i="4" s="1"/>
  <c r="T34" i="4"/>
  <c r="T33" i="4"/>
  <c r="T32" i="4"/>
  <c r="T31" i="4"/>
  <c r="T30" i="4"/>
  <c r="T29" i="4"/>
  <c r="T28" i="4"/>
  <c r="W28" i="4" s="1"/>
  <c r="T27" i="4"/>
  <c r="X27" i="4" s="1"/>
  <c r="T26" i="4"/>
  <c r="Y26" i="4" s="1"/>
  <c r="T25" i="4"/>
  <c r="T24" i="4"/>
  <c r="T23" i="4"/>
  <c r="T22" i="4"/>
  <c r="T21" i="4"/>
  <c r="T20" i="4"/>
  <c r="W20" i="4" s="1"/>
  <c r="T19" i="4"/>
  <c r="X19" i="4" s="1"/>
  <c r="T18" i="4"/>
  <c r="T17" i="4"/>
  <c r="T16" i="4"/>
  <c r="T15" i="4"/>
  <c r="T14" i="4"/>
  <c r="T13" i="4"/>
  <c r="V13" i="4" s="1"/>
  <c r="T12" i="4"/>
  <c r="W12" i="4" s="1"/>
  <c r="T11" i="4"/>
  <c r="X11" i="4" s="1"/>
  <c r="T10" i="4"/>
  <c r="Y10" i="4" s="1"/>
  <c r="T9" i="4"/>
  <c r="T8" i="4"/>
  <c r="T7" i="4"/>
  <c r="T6" i="4"/>
  <c r="T5" i="4"/>
  <c r="T4" i="4"/>
  <c r="W4" i="4" s="1"/>
  <c r="T3" i="4"/>
  <c r="X3" i="4" s="1"/>
  <c r="T38" i="3"/>
  <c r="Y38" i="3" s="1"/>
  <c r="T37" i="3"/>
  <c r="T36" i="3"/>
  <c r="T35" i="3"/>
  <c r="T34" i="3"/>
  <c r="Y34" i="3" s="1"/>
  <c r="T33" i="3"/>
  <c r="T32" i="3"/>
  <c r="V32" i="3" s="1"/>
  <c r="T31" i="3"/>
  <c r="T30" i="3"/>
  <c r="T29" i="3"/>
  <c r="V29" i="3" s="1"/>
  <c r="T28" i="3"/>
  <c r="T27" i="3"/>
  <c r="V27" i="3" s="1"/>
  <c r="T26" i="3"/>
  <c r="Y26" i="3" s="1"/>
  <c r="T25" i="3"/>
  <c r="T24" i="3"/>
  <c r="T23" i="3"/>
  <c r="T22" i="3"/>
  <c r="T21" i="3"/>
  <c r="V21" i="3" s="1"/>
  <c r="T20" i="3"/>
  <c r="T19" i="3"/>
  <c r="T18" i="3"/>
  <c r="Y18" i="3" s="1"/>
  <c r="T17" i="3"/>
  <c r="T16" i="3"/>
  <c r="Y16" i="3" s="1"/>
  <c r="T15" i="3"/>
  <c r="T14" i="3"/>
  <c r="T13" i="3"/>
  <c r="V13" i="3" s="1"/>
  <c r="T12" i="3"/>
  <c r="T11" i="3"/>
  <c r="X11" i="3" s="1"/>
  <c r="T10" i="3"/>
  <c r="Y10" i="3" s="1"/>
  <c r="T9" i="3"/>
  <c r="T8" i="3"/>
  <c r="T7" i="3"/>
  <c r="T6" i="3"/>
  <c r="T5" i="3"/>
  <c r="V5" i="3" s="1"/>
  <c r="T4" i="3"/>
  <c r="T3" i="3"/>
  <c r="X3" i="3" s="1"/>
  <c r="T38" i="2"/>
  <c r="T37" i="2"/>
  <c r="T36" i="2"/>
  <c r="W36" i="2" s="1"/>
  <c r="T35" i="2"/>
  <c r="T34" i="2"/>
  <c r="Y34" i="2" s="1"/>
  <c r="T33" i="2"/>
  <c r="T32" i="2"/>
  <c r="T31" i="2"/>
  <c r="T30" i="2"/>
  <c r="T29" i="2"/>
  <c r="T28" i="2"/>
  <c r="W28" i="2" s="1"/>
  <c r="T27" i="2"/>
  <c r="W27" i="2" s="1"/>
  <c r="T26" i="2"/>
  <c r="Y26" i="2" s="1"/>
  <c r="T25" i="2"/>
  <c r="T24" i="2"/>
  <c r="W24" i="2" s="1"/>
  <c r="T23" i="2"/>
  <c r="T22" i="2"/>
  <c r="T21" i="2"/>
  <c r="T20" i="2"/>
  <c r="W20" i="2" s="1"/>
  <c r="T19" i="2"/>
  <c r="W19" i="2" s="1"/>
  <c r="T18" i="2"/>
  <c r="Y18" i="2" s="1"/>
  <c r="T17" i="2"/>
  <c r="T16" i="2"/>
  <c r="T15" i="2"/>
  <c r="T14" i="2"/>
  <c r="T13" i="2"/>
  <c r="T12" i="2"/>
  <c r="W12" i="2" s="1"/>
  <c r="T11" i="2"/>
  <c r="W11" i="2" s="1"/>
  <c r="T10" i="2"/>
  <c r="Y10" i="2" s="1"/>
  <c r="T9" i="2"/>
  <c r="T8" i="2"/>
  <c r="T7" i="2"/>
  <c r="T6" i="2"/>
  <c r="T5" i="2"/>
  <c r="T4" i="2"/>
  <c r="W4" i="2" s="1"/>
  <c r="T3" i="2"/>
  <c r="W3" i="2" s="1"/>
  <c r="T4" i="1"/>
  <c r="X4" i="1" s="1"/>
  <c r="T5" i="1"/>
  <c r="Y5" i="1" s="1"/>
  <c r="T6" i="1"/>
  <c r="W6" i="1" s="1"/>
  <c r="T7" i="1"/>
  <c r="X7" i="1" s="1"/>
  <c r="T8" i="1"/>
  <c r="Y8" i="1" s="1"/>
  <c r="T9" i="1"/>
  <c r="Z9" i="1" s="1"/>
  <c r="T10" i="1"/>
  <c r="AA10" i="1" s="1"/>
  <c r="T11" i="1"/>
  <c r="AB11" i="1" s="1"/>
  <c r="T12" i="1"/>
  <c r="X12" i="1" s="1"/>
  <c r="T13" i="1"/>
  <c r="Y13" i="1" s="1"/>
  <c r="T14" i="1"/>
  <c r="Z14" i="1" s="1"/>
  <c r="T15" i="1"/>
  <c r="AC15" i="1" s="1"/>
  <c r="T16" i="1"/>
  <c r="W16" i="1" s="1"/>
  <c r="T17" i="1"/>
  <c r="W17" i="1" s="1"/>
  <c r="T18" i="1"/>
  <c r="X18" i="1" s="1"/>
  <c r="T19" i="1"/>
  <c r="T20" i="1"/>
  <c r="T21" i="1"/>
  <c r="Y21" i="1" s="1"/>
  <c r="T22" i="1"/>
  <c r="Z22" i="1" s="1"/>
  <c r="T23" i="1"/>
  <c r="AA23" i="1" s="1"/>
  <c r="T24" i="1"/>
  <c r="AA24" i="1" s="1"/>
  <c r="T25" i="1"/>
  <c r="AB25" i="1" s="1"/>
  <c r="T26" i="1"/>
  <c r="AC26" i="1" s="1"/>
  <c r="T27" i="1"/>
  <c r="W27" i="1" s="1"/>
  <c r="T28" i="1"/>
  <c r="W28" i="1" s="1"/>
  <c r="T29" i="1"/>
  <c r="X29" i="1" s="1"/>
  <c r="T30" i="1"/>
  <c r="Z30" i="1" s="1"/>
  <c r="T31" i="1"/>
  <c r="AA31" i="1" s="1"/>
  <c r="T32" i="1"/>
  <c r="AB32" i="1" s="1"/>
  <c r="T33" i="1"/>
  <c r="X33" i="1" s="1"/>
  <c r="T34" i="1"/>
  <c r="Y34" i="1" s="1"/>
  <c r="T35" i="1"/>
  <c r="T36" i="1"/>
  <c r="T37" i="1"/>
  <c r="AB37" i="1" s="1"/>
  <c r="T38" i="1"/>
  <c r="AC38" i="1" s="1"/>
  <c r="W3" i="1"/>
  <c r="V38" i="8" l="1"/>
  <c r="X38" i="8"/>
  <c r="W38" i="8"/>
  <c r="Y37" i="8"/>
  <c r="W37" i="8"/>
  <c r="V37" i="8"/>
  <c r="X37" i="8"/>
  <c r="W36" i="8"/>
  <c r="Y36" i="8"/>
  <c r="X36" i="8"/>
  <c r="Y34" i="8"/>
  <c r="V34" i="8"/>
  <c r="W34" i="8"/>
  <c r="X33" i="8"/>
  <c r="W33" i="8"/>
  <c r="Y31" i="8"/>
  <c r="V31" i="8"/>
  <c r="Y30" i="8"/>
  <c r="X30" i="8"/>
  <c r="W30" i="8"/>
  <c r="V30" i="8"/>
  <c r="Y29" i="8"/>
  <c r="X29" i="8"/>
  <c r="W29" i="8"/>
  <c r="V29" i="8"/>
  <c r="W28" i="8"/>
  <c r="Y28" i="8"/>
  <c r="X28" i="8"/>
  <c r="Y26" i="8"/>
  <c r="V26" i="8"/>
  <c r="W26" i="8"/>
  <c r="X25" i="8"/>
  <c r="W25" i="8"/>
  <c r="V25" i="8"/>
  <c r="Y23" i="8"/>
  <c r="V23" i="8"/>
  <c r="Y22" i="8"/>
  <c r="W22" i="8"/>
  <c r="V22" i="8"/>
  <c r="V21" i="8"/>
  <c r="W21" i="8"/>
  <c r="X21" i="8"/>
  <c r="Y21" i="8"/>
  <c r="W20" i="8"/>
  <c r="Y20" i="8"/>
  <c r="X20" i="8"/>
  <c r="Y18" i="8"/>
  <c r="W18" i="8"/>
  <c r="V18" i="8"/>
  <c r="Y17" i="8"/>
  <c r="X17" i="8"/>
  <c r="V17" i="8"/>
  <c r="W17" i="8"/>
  <c r="Y15" i="8"/>
  <c r="V15" i="8"/>
  <c r="W14" i="8"/>
  <c r="V14" i="8"/>
  <c r="Y14" i="8"/>
  <c r="X13" i="8"/>
  <c r="Y13" i="8"/>
  <c r="V13" i="8"/>
  <c r="W13" i="8"/>
  <c r="W12" i="8"/>
  <c r="X12" i="8"/>
  <c r="Y12" i="8"/>
  <c r="Y10" i="8"/>
  <c r="V10" i="8"/>
  <c r="W10" i="8"/>
  <c r="Y9" i="8"/>
  <c r="X9" i="8"/>
  <c r="W9" i="8"/>
  <c r="V9" i="8"/>
  <c r="V6" i="8"/>
  <c r="W6" i="8"/>
  <c r="X5" i="8"/>
  <c r="W5" i="8"/>
  <c r="V5" i="8"/>
  <c r="W4" i="8"/>
  <c r="X4" i="8"/>
  <c r="Y4" i="8"/>
  <c r="X25" i="5"/>
  <c r="Y25" i="5"/>
  <c r="W17" i="5"/>
  <c r="Y17" i="5"/>
  <c r="Y34" i="4"/>
  <c r="V34" i="4"/>
  <c r="Y18" i="4"/>
  <c r="W18" i="4"/>
  <c r="V5" i="4"/>
  <c r="W5" i="4"/>
  <c r="Y24" i="3"/>
  <c r="W24" i="3"/>
  <c r="X22" i="3"/>
  <c r="Y22" i="3"/>
  <c r="Y16" i="2"/>
  <c r="X16" i="2"/>
  <c r="Y19" i="1"/>
  <c r="W19" i="1"/>
  <c r="Z20" i="1"/>
  <c r="X20" i="1"/>
  <c r="Z35" i="1"/>
  <c r="X35" i="1"/>
  <c r="AA36" i="1"/>
  <c r="Y36" i="1"/>
  <c r="Y5" i="3"/>
  <c r="W26" i="9"/>
  <c r="X13" i="9"/>
  <c r="X27" i="9"/>
  <c r="Y34" i="9"/>
  <c r="W14" i="9"/>
  <c r="X4" i="9"/>
  <c r="AA10" i="9"/>
  <c r="W36" i="9"/>
  <c r="Y5" i="9"/>
  <c r="X38" i="9"/>
  <c r="V14" i="9"/>
  <c r="W20" i="9"/>
  <c r="V26" i="9"/>
  <c r="W29" i="9"/>
  <c r="Z34" i="9"/>
  <c r="AA26" i="9"/>
  <c r="V30" i="9"/>
  <c r="AA35" i="9"/>
  <c r="V13" i="9"/>
  <c r="AB4" i="9"/>
  <c r="W10" i="9"/>
  <c r="Y13" i="9"/>
  <c r="Y10" i="9"/>
  <c r="AA13" i="9"/>
  <c r="AB25" i="9"/>
  <c r="V28" i="9"/>
  <c r="Y4" i="9"/>
  <c r="AB8" i="9"/>
  <c r="AB10" i="9"/>
  <c r="W13" i="9"/>
  <c r="Z18" i="9"/>
  <c r="V20" i="9"/>
  <c r="V22" i="9"/>
  <c r="Z35" i="9"/>
  <c r="Z9" i="9"/>
  <c r="X11" i="9"/>
  <c r="Z17" i="9"/>
  <c r="W19" i="9"/>
  <c r="X20" i="9"/>
  <c r="AC23" i="9"/>
  <c r="AB32" i="9"/>
  <c r="AA9" i="9"/>
  <c r="Y11" i="9"/>
  <c r="X19" i="9"/>
  <c r="Y20" i="9"/>
  <c r="X3" i="9"/>
  <c r="Z5" i="9"/>
  <c r="Z11" i="9"/>
  <c r="V18" i="9"/>
  <c r="Y19" i="9"/>
  <c r="Z20" i="9"/>
  <c r="AB24" i="9"/>
  <c r="AB26" i="9"/>
  <c r="X29" i="9"/>
  <c r="Y3" i="9"/>
  <c r="W18" i="9"/>
  <c r="Z19" i="9"/>
  <c r="Y29" i="9"/>
  <c r="V37" i="9"/>
  <c r="X18" i="9"/>
  <c r="AA19" i="9"/>
  <c r="V21" i="9"/>
  <c r="AA25" i="9"/>
  <c r="W27" i="9"/>
  <c r="Y18" i="9"/>
  <c r="Z4" i="9"/>
  <c r="AA5" i="9"/>
  <c r="Z10" i="9"/>
  <c r="W12" i="9"/>
  <c r="AB16" i="9"/>
  <c r="W22" i="9"/>
  <c r="W28" i="9"/>
  <c r="AA33" i="9"/>
  <c r="AA34" i="9"/>
  <c r="W37" i="9"/>
  <c r="AB5" i="9"/>
  <c r="X12" i="9"/>
  <c r="X28" i="9"/>
  <c r="AB33" i="9"/>
  <c r="AB34" i="9"/>
  <c r="V36" i="9"/>
  <c r="X37" i="9"/>
  <c r="Y12" i="9"/>
  <c r="Y28" i="9"/>
  <c r="Y37" i="9"/>
  <c r="Z3" i="9"/>
  <c r="V5" i="9"/>
  <c r="V6" i="9"/>
  <c r="AB9" i="9"/>
  <c r="Z12" i="9"/>
  <c r="AA17" i="9"/>
  <c r="AA18" i="9"/>
  <c r="W21" i="9"/>
  <c r="X26" i="9"/>
  <c r="Y27" i="9"/>
  <c r="Z28" i="9"/>
  <c r="W30" i="9"/>
  <c r="V34" i="9"/>
  <c r="W35" i="9"/>
  <c r="X36" i="9"/>
  <c r="W5" i="9"/>
  <c r="W6" i="9"/>
  <c r="AB12" i="9"/>
  <c r="AB17" i="9"/>
  <c r="AB18" i="9"/>
  <c r="X21" i="9"/>
  <c r="Y26" i="9"/>
  <c r="Z27" i="9"/>
  <c r="W34" i="9"/>
  <c r="X35" i="9"/>
  <c r="Y36" i="9"/>
  <c r="V38" i="9"/>
  <c r="W4" i="9"/>
  <c r="X5" i="9"/>
  <c r="V10" i="9"/>
  <c r="Y21" i="9"/>
  <c r="Z26" i="9"/>
  <c r="AA27" i="9"/>
  <c r="V29" i="9"/>
  <c r="X34" i="9"/>
  <c r="Y35" i="9"/>
  <c r="Z36" i="9"/>
  <c r="W38" i="9"/>
  <c r="Z18" i="7"/>
  <c r="V18" i="7"/>
  <c r="W29" i="7"/>
  <c r="AA25" i="7"/>
  <c r="V38" i="7"/>
  <c r="V11" i="7"/>
  <c r="AA16" i="7"/>
  <c r="Z19" i="7"/>
  <c r="X28" i="7"/>
  <c r="V6" i="7"/>
  <c r="AA19" i="7"/>
  <c r="X25" i="7"/>
  <c r="Z25" i="7"/>
  <c r="V29" i="7"/>
  <c r="Y34" i="7"/>
  <c r="V14" i="7"/>
  <c r="W21" i="7"/>
  <c r="X9" i="7"/>
  <c r="AA14" i="7"/>
  <c r="AA18" i="7"/>
  <c r="V30" i="7"/>
  <c r="V5" i="7"/>
  <c r="X11" i="7"/>
  <c r="Y18" i="7"/>
  <c r="AA22" i="7"/>
  <c r="AA34" i="7"/>
  <c r="X5" i="7"/>
  <c r="V3" i="7"/>
  <c r="Y5" i="7"/>
  <c r="Y3" i="7"/>
  <c r="Z5" i="7"/>
  <c r="AA9" i="7"/>
  <c r="V13" i="7"/>
  <c r="Y21" i="7"/>
  <c r="Y24" i="7"/>
  <c r="X29" i="7"/>
  <c r="Z33" i="7"/>
  <c r="Z3" i="7"/>
  <c r="AA5" i="7"/>
  <c r="W13" i="7"/>
  <c r="X17" i="7"/>
  <c r="Z21" i="7"/>
  <c r="AA24" i="7"/>
  <c r="V27" i="7"/>
  <c r="Y29" i="7"/>
  <c r="AA33" i="7"/>
  <c r="V37" i="7"/>
  <c r="AA3" i="7"/>
  <c r="Z17" i="7"/>
  <c r="X19" i="7"/>
  <c r="AA21" i="7"/>
  <c r="X27" i="7"/>
  <c r="W37" i="7"/>
  <c r="Y8" i="7"/>
  <c r="AA8" i="7"/>
  <c r="W10" i="7"/>
  <c r="Y11" i="7"/>
  <c r="X13" i="7"/>
  <c r="AA17" i="7"/>
  <c r="X20" i="7"/>
  <c r="W26" i="7"/>
  <c r="Y27" i="7"/>
  <c r="Y32" i="7"/>
  <c r="X35" i="7"/>
  <c r="X37" i="7"/>
  <c r="V26" i="7"/>
  <c r="V35" i="7"/>
  <c r="X4" i="7"/>
  <c r="Y10" i="7"/>
  <c r="Z11" i="7"/>
  <c r="Y13" i="7"/>
  <c r="Y26" i="7"/>
  <c r="Z27" i="7"/>
  <c r="Z29" i="7"/>
  <c r="AA32" i="7"/>
  <c r="V34" i="7"/>
  <c r="Y35" i="7"/>
  <c r="Y37" i="7"/>
  <c r="Z10" i="7"/>
  <c r="AA11" i="7"/>
  <c r="Z13" i="7"/>
  <c r="Y16" i="7"/>
  <c r="V19" i="7"/>
  <c r="V21" i="7"/>
  <c r="V22" i="7"/>
  <c r="Z26" i="7"/>
  <c r="AA29" i="7"/>
  <c r="W34" i="7"/>
  <c r="Z35" i="7"/>
  <c r="Z37" i="7"/>
  <c r="AA10" i="7"/>
  <c r="AA13" i="7"/>
  <c r="AA26" i="7"/>
  <c r="AA37" i="7"/>
  <c r="X3" i="7"/>
  <c r="W5" i="7"/>
  <c r="AA6" i="7"/>
  <c r="Z9" i="7"/>
  <c r="X12" i="7"/>
  <c r="W18" i="7"/>
  <c r="Y19" i="7"/>
  <c r="X21" i="7"/>
  <c r="X33" i="7"/>
  <c r="Z34" i="7"/>
  <c r="X36" i="7"/>
  <c r="Y20" i="6"/>
  <c r="Y12" i="6"/>
  <c r="W13" i="6"/>
  <c r="Y4" i="6"/>
  <c r="Y14" i="6"/>
  <c r="V38" i="6"/>
  <c r="X14" i="6"/>
  <c r="X30" i="6"/>
  <c r="X35" i="6"/>
  <c r="V23" i="6"/>
  <c r="Y30" i="6"/>
  <c r="W23" i="6"/>
  <c r="X13" i="6"/>
  <c r="V15" i="6"/>
  <c r="W19" i="6"/>
  <c r="W21" i="6"/>
  <c r="Y35" i="6"/>
  <c r="W38" i="6"/>
  <c r="Y13" i="6"/>
  <c r="X19" i="6"/>
  <c r="X21" i="6"/>
  <c r="W29" i="6"/>
  <c r="V31" i="6"/>
  <c r="X29" i="6"/>
  <c r="Y29" i="6"/>
  <c r="V3" i="6"/>
  <c r="V7" i="6"/>
  <c r="V22" i="6"/>
  <c r="W3" i="6"/>
  <c r="V6" i="6"/>
  <c r="W7" i="6"/>
  <c r="Y19" i="6"/>
  <c r="W22" i="6"/>
  <c r="X23" i="6"/>
  <c r="V27" i="6"/>
  <c r="X28" i="6"/>
  <c r="W37" i="6"/>
  <c r="X38" i="6"/>
  <c r="Y3" i="6"/>
  <c r="W6" i="6"/>
  <c r="X7" i="6"/>
  <c r="X22" i="6"/>
  <c r="W27" i="6"/>
  <c r="Y28" i="6"/>
  <c r="X37" i="6"/>
  <c r="Y38" i="6"/>
  <c r="W5" i="6"/>
  <c r="X6" i="6"/>
  <c r="V11" i="6"/>
  <c r="Y22" i="6"/>
  <c r="X27" i="6"/>
  <c r="Y37" i="6"/>
  <c r="X5" i="6"/>
  <c r="Y6" i="6"/>
  <c r="W11" i="6"/>
  <c r="V14" i="6"/>
  <c r="W15" i="6"/>
  <c r="Y21" i="6"/>
  <c r="Y27" i="6"/>
  <c r="V30" i="6"/>
  <c r="W31" i="6"/>
  <c r="V35" i="6"/>
  <c r="X36" i="6"/>
  <c r="Y5" i="6"/>
  <c r="Y11" i="6"/>
  <c r="W14" i="6"/>
  <c r="X15" i="6"/>
  <c r="W30" i="6"/>
  <c r="W35" i="6"/>
  <c r="Y36" i="6"/>
  <c r="V17" i="5"/>
  <c r="W4" i="5"/>
  <c r="Y22" i="5"/>
  <c r="V22" i="5"/>
  <c r="V28" i="5"/>
  <c r="X24" i="5"/>
  <c r="V21" i="5"/>
  <c r="W24" i="5"/>
  <c r="X4" i="5"/>
  <c r="X9" i="5"/>
  <c r="W28" i="5"/>
  <c r="V33" i="5"/>
  <c r="Y9" i="5"/>
  <c r="X15" i="5"/>
  <c r="X28" i="5"/>
  <c r="V36" i="5"/>
  <c r="X7" i="5"/>
  <c r="X17" i="5"/>
  <c r="V20" i="5"/>
  <c r="Y24" i="5"/>
  <c r="W33" i="5"/>
  <c r="W36" i="5"/>
  <c r="W20" i="5"/>
  <c r="Y33" i="5"/>
  <c r="X36" i="5"/>
  <c r="X20" i="5"/>
  <c r="X16" i="5"/>
  <c r="V6" i="5"/>
  <c r="V9" i="5"/>
  <c r="V4" i="5"/>
  <c r="Y6" i="5"/>
  <c r="W9" i="5"/>
  <c r="X12" i="5"/>
  <c r="W25" i="5"/>
  <c r="W5" i="5"/>
  <c r="V14" i="5"/>
  <c r="W21" i="5"/>
  <c r="X23" i="5"/>
  <c r="V29" i="5"/>
  <c r="V37" i="5"/>
  <c r="Y14" i="5"/>
  <c r="V25" i="5"/>
  <c r="W29" i="5"/>
  <c r="X31" i="5"/>
  <c r="W37" i="5"/>
  <c r="W8" i="5"/>
  <c r="V13" i="5"/>
  <c r="W32" i="5"/>
  <c r="X8" i="5"/>
  <c r="W13" i="5"/>
  <c r="X32" i="5"/>
  <c r="Y8" i="5"/>
  <c r="V12" i="5"/>
  <c r="V30" i="5"/>
  <c r="V38" i="5"/>
  <c r="W12" i="5"/>
  <c r="W16" i="5"/>
  <c r="Y19" i="5"/>
  <c r="Y30" i="5"/>
  <c r="Y38" i="5"/>
  <c r="Y3" i="4"/>
  <c r="W6" i="4"/>
  <c r="V9" i="4"/>
  <c r="W9" i="4"/>
  <c r="X12" i="4"/>
  <c r="W14" i="4"/>
  <c r="Y20" i="4"/>
  <c r="W22" i="4"/>
  <c r="W26" i="4"/>
  <c r="X9" i="4"/>
  <c r="Y12" i="4"/>
  <c r="X14" i="4"/>
  <c r="V18" i="4"/>
  <c r="X22" i="4"/>
  <c r="V6" i="4"/>
  <c r="Y19" i="4"/>
  <c r="W13" i="4"/>
  <c r="W21" i="4"/>
  <c r="X8" i="4"/>
  <c r="V10" i="4"/>
  <c r="X13" i="4"/>
  <c r="X21" i="4"/>
  <c r="Y27" i="4"/>
  <c r="X17" i="4"/>
  <c r="Y36" i="4"/>
  <c r="X5" i="4"/>
  <c r="X6" i="4"/>
  <c r="W10" i="4"/>
  <c r="Y21" i="4"/>
  <c r="Y22" i="4"/>
  <c r="W25" i="4"/>
  <c r="V29" i="4"/>
  <c r="V30" i="4"/>
  <c r="X32" i="4"/>
  <c r="Y5" i="4"/>
  <c r="Y6" i="4"/>
  <c r="V14" i="4"/>
  <c r="X16" i="4"/>
  <c r="X20" i="4"/>
  <c r="X25" i="4"/>
  <c r="W29" i="4"/>
  <c r="W30" i="4"/>
  <c r="V37" i="4"/>
  <c r="V38" i="4"/>
  <c r="X29" i="4"/>
  <c r="X30" i="4"/>
  <c r="W37" i="4"/>
  <c r="W38" i="4"/>
  <c r="X4" i="4"/>
  <c r="Y29" i="4"/>
  <c r="Y30" i="4"/>
  <c r="W33" i="4"/>
  <c r="Y35" i="4"/>
  <c r="X37" i="4"/>
  <c r="X38" i="4"/>
  <c r="Y4" i="4"/>
  <c r="Y11" i="4"/>
  <c r="Y13" i="4"/>
  <c r="Y14" i="4"/>
  <c r="V17" i="4"/>
  <c r="X28" i="4"/>
  <c r="Y37" i="4"/>
  <c r="Y38" i="4"/>
  <c r="W17" i="4"/>
  <c r="V21" i="4"/>
  <c r="V22" i="4"/>
  <c r="X24" i="4"/>
  <c r="V26" i="4"/>
  <c r="Y28" i="4"/>
  <c r="X36" i="4"/>
  <c r="Y20" i="3"/>
  <c r="V28" i="3"/>
  <c r="V35" i="3"/>
  <c r="Y35" i="3"/>
  <c r="V4" i="3"/>
  <c r="W13" i="3"/>
  <c r="V16" i="3"/>
  <c r="W29" i="3"/>
  <c r="X10" i="3"/>
  <c r="Y13" i="3"/>
  <c r="W20" i="3"/>
  <c r="Y29" i="3"/>
  <c r="V36" i="3"/>
  <c r="Y11" i="3"/>
  <c r="V14" i="3"/>
  <c r="X18" i="3"/>
  <c r="V30" i="3"/>
  <c r="Y36" i="3"/>
  <c r="X14" i="3"/>
  <c r="W7" i="3"/>
  <c r="Y19" i="3"/>
  <c r="X38" i="3"/>
  <c r="W4" i="3"/>
  <c r="V6" i="3"/>
  <c r="V8" i="3"/>
  <c r="V12" i="3"/>
  <c r="W16" i="3"/>
  <c r="W27" i="3"/>
  <c r="W28" i="3"/>
  <c r="W32" i="3"/>
  <c r="V37" i="3"/>
  <c r="X4" i="3"/>
  <c r="X6" i="3"/>
  <c r="W8" i="3"/>
  <c r="W12" i="3"/>
  <c r="X27" i="3"/>
  <c r="X28" i="3"/>
  <c r="W37" i="3"/>
  <c r="Y6" i="3"/>
  <c r="X8" i="3"/>
  <c r="X12" i="3"/>
  <c r="W21" i="3"/>
  <c r="Y27" i="3"/>
  <c r="Y28" i="3"/>
  <c r="X30" i="3"/>
  <c r="W35" i="3"/>
  <c r="W36" i="3"/>
  <c r="Y37" i="3"/>
  <c r="W3" i="3"/>
  <c r="W11" i="3"/>
  <c r="Y14" i="3"/>
  <c r="V19" i="3"/>
  <c r="V20" i="3"/>
  <c r="Y21" i="3"/>
  <c r="V24" i="3"/>
  <c r="X26" i="3"/>
  <c r="Y30" i="3"/>
  <c r="X35" i="3"/>
  <c r="X36" i="3"/>
  <c r="Y3" i="3"/>
  <c r="W19" i="3"/>
  <c r="X19" i="3"/>
  <c r="X20" i="3"/>
  <c r="V22" i="3"/>
  <c r="V38" i="3"/>
  <c r="X24" i="2"/>
  <c r="Y6" i="2"/>
  <c r="W21" i="2"/>
  <c r="W37" i="2"/>
  <c r="Y21" i="2"/>
  <c r="Y37" i="2"/>
  <c r="V8" i="2"/>
  <c r="X22" i="2"/>
  <c r="X27" i="2"/>
  <c r="W8" i="2"/>
  <c r="Y14" i="2"/>
  <c r="W10" i="2"/>
  <c r="V13" i="2"/>
  <c r="X31" i="2"/>
  <c r="W7" i="2"/>
  <c r="Y13" i="2"/>
  <c r="X15" i="2"/>
  <c r="V35" i="2"/>
  <c r="X3" i="2"/>
  <c r="X35" i="2"/>
  <c r="V11" i="2"/>
  <c r="X19" i="2"/>
  <c r="Y22" i="2"/>
  <c r="W26" i="2"/>
  <c r="V29" i="2"/>
  <c r="Y35" i="2"/>
  <c r="Y19" i="2"/>
  <c r="W29" i="2"/>
  <c r="W5" i="2"/>
  <c r="X14" i="2"/>
  <c r="V27" i="2"/>
  <c r="W34" i="2"/>
  <c r="AC15" i="9"/>
  <c r="AC31" i="9"/>
  <c r="AC16" i="9"/>
  <c r="AC24" i="9"/>
  <c r="AA3" i="9"/>
  <c r="X6" i="9"/>
  <c r="W7" i="9"/>
  <c r="V8" i="9"/>
  <c r="AC9" i="9"/>
  <c r="AA11" i="9"/>
  <c r="X14" i="9"/>
  <c r="W15" i="9"/>
  <c r="V16" i="9"/>
  <c r="AC17" i="9"/>
  <c r="X22" i="9"/>
  <c r="W23" i="9"/>
  <c r="V24" i="9"/>
  <c r="AC25" i="9"/>
  <c r="X30" i="9"/>
  <c r="W31" i="9"/>
  <c r="V32" i="9"/>
  <c r="AC33" i="9"/>
  <c r="V15" i="9"/>
  <c r="AB3" i="9"/>
  <c r="AA4" i="9"/>
  <c r="Y6" i="9"/>
  <c r="X7" i="9"/>
  <c r="W8" i="9"/>
  <c r="V9" i="9"/>
  <c r="AC10" i="9"/>
  <c r="AB11" i="9"/>
  <c r="AA12" i="9"/>
  <c r="Z13" i="9"/>
  <c r="Y14" i="9"/>
  <c r="X15" i="9"/>
  <c r="W16" i="9"/>
  <c r="V17" i="9"/>
  <c r="AB19" i="9"/>
  <c r="AA20" i="9"/>
  <c r="Z21" i="9"/>
  <c r="Y22" i="9"/>
  <c r="X23" i="9"/>
  <c r="W24" i="9"/>
  <c r="V25" i="9"/>
  <c r="AB27" i="9"/>
  <c r="AA28" i="9"/>
  <c r="Z29" i="9"/>
  <c r="Y30" i="9"/>
  <c r="X31" i="9"/>
  <c r="W32" i="9"/>
  <c r="V33" i="9"/>
  <c r="AB35" i="9"/>
  <c r="AA36" i="9"/>
  <c r="Z37" i="9"/>
  <c r="Y38" i="9"/>
  <c r="AC3" i="9"/>
  <c r="Z6" i="9"/>
  <c r="Y7" i="9"/>
  <c r="X8" i="9"/>
  <c r="W9" i="9"/>
  <c r="AC11" i="9"/>
  <c r="Z14" i="9"/>
  <c r="Y15" i="9"/>
  <c r="X16" i="9"/>
  <c r="W17" i="9"/>
  <c r="AC19" i="9"/>
  <c r="AB20" i="9"/>
  <c r="AA21" i="9"/>
  <c r="Z22" i="9"/>
  <c r="Y23" i="9"/>
  <c r="X24" i="9"/>
  <c r="W25" i="9"/>
  <c r="AC27" i="9"/>
  <c r="AB28" i="9"/>
  <c r="AA29" i="9"/>
  <c r="Z30" i="9"/>
  <c r="Y31" i="9"/>
  <c r="X32" i="9"/>
  <c r="W33" i="9"/>
  <c r="AC35" i="9"/>
  <c r="AB36" i="9"/>
  <c r="AA37" i="9"/>
  <c r="Z38" i="9"/>
  <c r="AC7" i="9"/>
  <c r="V7" i="9"/>
  <c r="V23" i="9"/>
  <c r="V31" i="9"/>
  <c r="V3" i="9"/>
  <c r="AC4" i="9"/>
  <c r="AA6" i="9"/>
  <c r="Z7" i="9"/>
  <c r="Y8" i="9"/>
  <c r="X9" i="9"/>
  <c r="V11" i="9"/>
  <c r="AC12" i="9"/>
  <c r="AB13" i="9"/>
  <c r="AA14" i="9"/>
  <c r="Z15" i="9"/>
  <c r="Y16" i="9"/>
  <c r="X17" i="9"/>
  <c r="AB21" i="9"/>
  <c r="AA22" i="9"/>
  <c r="Z23" i="9"/>
  <c r="Y24" i="9"/>
  <c r="X25" i="9"/>
  <c r="AB29" i="9"/>
  <c r="AA30" i="9"/>
  <c r="Z31" i="9"/>
  <c r="Y32" i="9"/>
  <c r="X33" i="9"/>
  <c r="AB37" i="9"/>
  <c r="AA38" i="9"/>
  <c r="AC8" i="9"/>
  <c r="AC32" i="9"/>
  <c r="AB6" i="9"/>
  <c r="AA7" i="9"/>
  <c r="Z8" i="9"/>
  <c r="AB14" i="9"/>
  <c r="AA15" i="9"/>
  <c r="Z16" i="9"/>
  <c r="AB22" i="9"/>
  <c r="AA23" i="9"/>
  <c r="Z24" i="9"/>
  <c r="Y25" i="9"/>
  <c r="AB30" i="9"/>
  <c r="AA31" i="9"/>
  <c r="Z32" i="9"/>
  <c r="Y33" i="9"/>
  <c r="AB38" i="9"/>
  <c r="Y3" i="8"/>
  <c r="Y11" i="8"/>
  <c r="Y19" i="8"/>
  <c r="Y27" i="8"/>
  <c r="Y35" i="8"/>
  <c r="Y5" i="8"/>
  <c r="X6" i="8"/>
  <c r="W7" i="8"/>
  <c r="V8" i="8"/>
  <c r="X14" i="8"/>
  <c r="W15" i="8"/>
  <c r="V16" i="8"/>
  <c r="X22" i="8"/>
  <c r="W23" i="8"/>
  <c r="V24" i="8"/>
  <c r="W31" i="8"/>
  <c r="V32" i="8"/>
  <c r="Y6" i="8"/>
  <c r="X7" i="8"/>
  <c r="W8" i="8"/>
  <c r="X15" i="8"/>
  <c r="W16" i="8"/>
  <c r="X23" i="8"/>
  <c r="W24" i="8"/>
  <c r="X31" i="8"/>
  <c r="W32" i="8"/>
  <c r="V33" i="8"/>
  <c r="Y38" i="8"/>
  <c r="X8" i="8"/>
  <c r="X16" i="8"/>
  <c r="X24" i="8"/>
  <c r="X32" i="8"/>
  <c r="V3" i="8"/>
  <c r="Y8" i="8"/>
  <c r="V11" i="8"/>
  <c r="Y16" i="8"/>
  <c r="V19" i="8"/>
  <c r="Y24" i="8"/>
  <c r="V27" i="8"/>
  <c r="Y32" i="8"/>
  <c r="V35" i="8"/>
  <c r="W3" i="8"/>
  <c r="V4" i="8"/>
  <c r="X10" i="8"/>
  <c r="W11" i="8"/>
  <c r="V12" i="8"/>
  <c r="X18" i="8"/>
  <c r="W19" i="8"/>
  <c r="V20" i="8"/>
  <c r="Y25" i="8"/>
  <c r="X26" i="8"/>
  <c r="W27" i="8"/>
  <c r="V28" i="8"/>
  <c r="Y33" i="8"/>
  <c r="X34" i="8"/>
  <c r="W35" i="8"/>
  <c r="V36" i="8"/>
  <c r="Y4" i="7"/>
  <c r="W6" i="7"/>
  <c r="V7" i="7"/>
  <c r="Y12" i="7"/>
  <c r="W14" i="7"/>
  <c r="V15" i="7"/>
  <c r="Y20" i="7"/>
  <c r="W22" i="7"/>
  <c r="V23" i="7"/>
  <c r="Y28" i="7"/>
  <c r="W30" i="7"/>
  <c r="V31" i="7"/>
  <c r="Y36" i="7"/>
  <c r="W38" i="7"/>
  <c r="Z4" i="7"/>
  <c r="X6" i="7"/>
  <c r="W7" i="7"/>
  <c r="V8" i="7"/>
  <c r="Z12" i="7"/>
  <c r="X14" i="7"/>
  <c r="W15" i="7"/>
  <c r="V16" i="7"/>
  <c r="Z20" i="7"/>
  <c r="X22" i="7"/>
  <c r="W23" i="7"/>
  <c r="V24" i="7"/>
  <c r="AA27" i="7"/>
  <c r="Z28" i="7"/>
  <c r="X30" i="7"/>
  <c r="W31" i="7"/>
  <c r="V32" i="7"/>
  <c r="AA35" i="7"/>
  <c r="Z36" i="7"/>
  <c r="X38" i="7"/>
  <c r="AA4" i="7"/>
  <c r="Y6" i="7"/>
  <c r="X7" i="7"/>
  <c r="W8" i="7"/>
  <c r="V9" i="7"/>
  <c r="AA12" i="7"/>
  <c r="Y14" i="7"/>
  <c r="X15" i="7"/>
  <c r="W16" i="7"/>
  <c r="V17" i="7"/>
  <c r="AA20" i="7"/>
  <c r="Y22" i="7"/>
  <c r="X23" i="7"/>
  <c r="W24" i="7"/>
  <c r="V25" i="7"/>
  <c r="AA28" i="7"/>
  <c r="Y30" i="7"/>
  <c r="X31" i="7"/>
  <c r="W32" i="7"/>
  <c r="V33" i="7"/>
  <c r="AA36" i="7"/>
  <c r="Y38" i="7"/>
  <c r="Z6" i="7"/>
  <c r="Y7" i="7"/>
  <c r="X8" i="7"/>
  <c r="W9" i="7"/>
  <c r="V10" i="7"/>
  <c r="Z14" i="7"/>
  <c r="Y15" i="7"/>
  <c r="X16" i="7"/>
  <c r="W17" i="7"/>
  <c r="Z22" i="7"/>
  <c r="Y23" i="7"/>
  <c r="X24" i="7"/>
  <c r="W25" i="7"/>
  <c r="Z30" i="7"/>
  <c r="Y31" i="7"/>
  <c r="X32" i="7"/>
  <c r="W33" i="7"/>
  <c r="Z38" i="7"/>
  <c r="Z7" i="7"/>
  <c r="Z15" i="7"/>
  <c r="Z23" i="7"/>
  <c r="AA30" i="7"/>
  <c r="Z31" i="7"/>
  <c r="AA38" i="7"/>
  <c r="V4" i="7"/>
  <c r="AA7" i="7"/>
  <c r="V12" i="7"/>
  <c r="AA15" i="7"/>
  <c r="V20" i="7"/>
  <c r="AA23" i="7"/>
  <c r="V28" i="7"/>
  <c r="AA31" i="7"/>
  <c r="V36" i="7"/>
  <c r="X4" i="6"/>
  <c r="X12" i="6"/>
  <c r="X20" i="6"/>
  <c r="V8" i="6"/>
  <c r="V16" i="6"/>
  <c r="V24" i="6"/>
  <c r="V32" i="6"/>
  <c r="W8" i="6"/>
  <c r="V9" i="6"/>
  <c r="W16" i="6"/>
  <c r="V17" i="6"/>
  <c r="W24" i="6"/>
  <c r="V25" i="6"/>
  <c r="X31" i="6"/>
  <c r="W32" i="6"/>
  <c r="V33" i="6"/>
  <c r="Y7" i="6"/>
  <c r="X8" i="6"/>
  <c r="W9" i="6"/>
  <c r="V10" i="6"/>
  <c r="Y15" i="6"/>
  <c r="X16" i="6"/>
  <c r="W17" i="6"/>
  <c r="V18" i="6"/>
  <c r="Y23" i="6"/>
  <c r="X24" i="6"/>
  <c r="W25" i="6"/>
  <c r="V26" i="6"/>
  <c r="Y31" i="6"/>
  <c r="X32" i="6"/>
  <c r="W33" i="6"/>
  <c r="V34" i="6"/>
  <c r="Y8" i="6"/>
  <c r="X9" i="6"/>
  <c r="W10" i="6"/>
  <c r="Y16" i="6"/>
  <c r="X17" i="6"/>
  <c r="W18" i="6"/>
  <c r="Y24" i="6"/>
  <c r="X25" i="6"/>
  <c r="W26" i="6"/>
  <c r="Y32" i="6"/>
  <c r="X33" i="6"/>
  <c r="W34" i="6"/>
  <c r="V4" i="6"/>
  <c r="Y9" i="6"/>
  <c r="X10" i="6"/>
  <c r="V12" i="6"/>
  <c r="Y17" i="6"/>
  <c r="X18" i="6"/>
  <c r="V20" i="6"/>
  <c r="Y25" i="6"/>
  <c r="X26" i="6"/>
  <c r="V28" i="6"/>
  <c r="X34" i="6"/>
  <c r="V36" i="6"/>
  <c r="Y35" i="5"/>
  <c r="Y4" i="5"/>
  <c r="X5" i="5"/>
  <c r="W6" i="5"/>
  <c r="V7" i="5"/>
  <c r="Y12" i="5"/>
  <c r="X13" i="5"/>
  <c r="W14" i="5"/>
  <c r="V15" i="5"/>
  <c r="Y20" i="5"/>
  <c r="X21" i="5"/>
  <c r="W22" i="5"/>
  <c r="V23" i="5"/>
  <c r="Y28" i="5"/>
  <c r="X29" i="5"/>
  <c r="W30" i="5"/>
  <c r="V31" i="5"/>
  <c r="Y36" i="5"/>
  <c r="X37" i="5"/>
  <c r="W38" i="5"/>
  <c r="Y3" i="5"/>
  <c r="Y11" i="5"/>
  <c r="Y27" i="5"/>
  <c r="Y5" i="5"/>
  <c r="X6" i="5"/>
  <c r="W7" i="5"/>
  <c r="Y13" i="5"/>
  <c r="X14" i="5"/>
  <c r="W15" i="5"/>
  <c r="V16" i="5"/>
  <c r="Y21" i="5"/>
  <c r="X22" i="5"/>
  <c r="W23" i="5"/>
  <c r="Y29" i="5"/>
  <c r="X30" i="5"/>
  <c r="W31" i="5"/>
  <c r="V32" i="5"/>
  <c r="Y37" i="5"/>
  <c r="X38" i="5"/>
  <c r="Y7" i="5"/>
  <c r="V18" i="5"/>
  <c r="Y23" i="5"/>
  <c r="V3" i="5"/>
  <c r="W10" i="5"/>
  <c r="V11" i="5"/>
  <c r="W18" i="5"/>
  <c r="V19" i="5"/>
  <c r="W26" i="5"/>
  <c r="V27" i="5"/>
  <c r="W34" i="5"/>
  <c r="V35" i="5"/>
  <c r="Y15" i="5"/>
  <c r="V26" i="5"/>
  <c r="W3" i="5"/>
  <c r="X10" i="5"/>
  <c r="W11" i="5"/>
  <c r="X18" i="5"/>
  <c r="W19" i="5"/>
  <c r="X26" i="5"/>
  <c r="W27" i="5"/>
  <c r="X34" i="5"/>
  <c r="W35" i="5"/>
  <c r="V10" i="5"/>
  <c r="Y31" i="5"/>
  <c r="V34" i="5"/>
  <c r="V7" i="4"/>
  <c r="V15" i="4"/>
  <c r="V23" i="4"/>
  <c r="V31" i="4"/>
  <c r="W7" i="4"/>
  <c r="V8" i="4"/>
  <c r="W15" i="4"/>
  <c r="V16" i="4"/>
  <c r="W23" i="4"/>
  <c r="V24" i="4"/>
  <c r="W31" i="4"/>
  <c r="V32" i="4"/>
  <c r="X7" i="4"/>
  <c r="W8" i="4"/>
  <c r="X15" i="4"/>
  <c r="W16" i="4"/>
  <c r="X23" i="4"/>
  <c r="W24" i="4"/>
  <c r="V25" i="4"/>
  <c r="X31" i="4"/>
  <c r="W32" i="4"/>
  <c r="V33" i="4"/>
  <c r="Y7" i="4"/>
  <c r="Y15" i="4"/>
  <c r="Y23" i="4"/>
  <c r="Y31" i="4"/>
  <c r="V3" i="4"/>
  <c r="Y8" i="4"/>
  <c r="V11" i="4"/>
  <c r="Y16" i="4"/>
  <c r="V19" i="4"/>
  <c r="Y24" i="4"/>
  <c r="V27" i="4"/>
  <c r="Y32" i="4"/>
  <c r="X33" i="4"/>
  <c r="W34" i="4"/>
  <c r="V35" i="4"/>
  <c r="W3" i="4"/>
  <c r="V4" i="4"/>
  <c r="Y9" i="4"/>
  <c r="X10" i="4"/>
  <c r="W11" i="4"/>
  <c r="V12" i="4"/>
  <c r="Y17" i="4"/>
  <c r="X18" i="4"/>
  <c r="W19" i="4"/>
  <c r="V20" i="4"/>
  <c r="Y25" i="4"/>
  <c r="X26" i="4"/>
  <c r="W27" i="4"/>
  <c r="V28" i="4"/>
  <c r="Y33" i="4"/>
  <c r="X34" i="4"/>
  <c r="W35" i="4"/>
  <c r="V36" i="4"/>
  <c r="W5" i="3"/>
  <c r="Y4" i="3"/>
  <c r="X5" i="3"/>
  <c r="W6" i="3"/>
  <c r="V7" i="3"/>
  <c r="Y12" i="3"/>
  <c r="X13" i="3"/>
  <c r="W14" i="3"/>
  <c r="V15" i="3"/>
  <c r="X21" i="3"/>
  <c r="W22" i="3"/>
  <c r="V23" i="3"/>
  <c r="X29" i="3"/>
  <c r="W30" i="3"/>
  <c r="V31" i="3"/>
  <c r="X37" i="3"/>
  <c r="W38" i="3"/>
  <c r="W15" i="3"/>
  <c r="W23" i="3"/>
  <c r="W31" i="3"/>
  <c r="X7" i="3"/>
  <c r="V9" i="3"/>
  <c r="X15" i="3"/>
  <c r="V17" i="3"/>
  <c r="X23" i="3"/>
  <c r="V25" i="3"/>
  <c r="X31" i="3"/>
  <c r="V33" i="3"/>
  <c r="Y7" i="3"/>
  <c r="W9" i="3"/>
  <c r="V10" i="3"/>
  <c r="Y15" i="3"/>
  <c r="X16" i="3"/>
  <c r="W17" i="3"/>
  <c r="V18" i="3"/>
  <c r="Y23" i="3"/>
  <c r="X24" i="3"/>
  <c r="W25" i="3"/>
  <c r="V26" i="3"/>
  <c r="Y31" i="3"/>
  <c r="X32" i="3"/>
  <c r="W33" i="3"/>
  <c r="V34" i="3"/>
  <c r="V3" i="3"/>
  <c r="Y8" i="3"/>
  <c r="X9" i="3"/>
  <c r="W10" i="3"/>
  <c r="V11" i="3"/>
  <c r="X17" i="3"/>
  <c r="W18" i="3"/>
  <c r="X25" i="3"/>
  <c r="W26" i="3"/>
  <c r="Y32" i="3"/>
  <c r="X33" i="3"/>
  <c r="W34" i="3"/>
  <c r="Y9" i="3"/>
  <c r="Y17" i="3"/>
  <c r="Y25" i="3"/>
  <c r="Y33" i="3"/>
  <c r="X34" i="3"/>
  <c r="Y3" i="2"/>
  <c r="X5" i="2"/>
  <c r="X30" i="2"/>
  <c r="Y5" i="2"/>
  <c r="X8" i="2"/>
  <c r="W23" i="2"/>
  <c r="Y24" i="2"/>
  <c r="Y30" i="2"/>
  <c r="V32" i="2"/>
  <c r="Y8" i="2"/>
  <c r="X23" i="2"/>
  <c r="W32" i="2"/>
  <c r="X7" i="2"/>
  <c r="X11" i="2"/>
  <c r="W13" i="2"/>
  <c r="V16" i="2"/>
  <c r="W18" i="2"/>
  <c r="X32" i="2"/>
  <c r="Y11" i="2"/>
  <c r="X13" i="2"/>
  <c r="W16" i="2"/>
  <c r="Y27" i="2"/>
  <c r="Y29" i="2"/>
  <c r="W31" i="2"/>
  <c r="Y32" i="2"/>
  <c r="X38" i="2"/>
  <c r="Y38" i="2"/>
  <c r="V3" i="2"/>
  <c r="V5" i="2"/>
  <c r="X6" i="2"/>
  <c r="W15" i="2"/>
  <c r="V19" i="2"/>
  <c r="V21" i="2"/>
  <c r="V24" i="2"/>
  <c r="W35" i="2"/>
  <c r="V37" i="2"/>
  <c r="X4" i="2"/>
  <c r="V6" i="2"/>
  <c r="X12" i="2"/>
  <c r="V14" i="2"/>
  <c r="X20" i="2"/>
  <c r="V22" i="2"/>
  <c r="X28" i="2"/>
  <c r="V30" i="2"/>
  <c r="X36" i="2"/>
  <c r="V38" i="2"/>
  <c r="Y4" i="2"/>
  <c r="W6" i="2"/>
  <c r="V7" i="2"/>
  <c r="Y12" i="2"/>
  <c r="W14" i="2"/>
  <c r="V15" i="2"/>
  <c r="Y20" i="2"/>
  <c r="X21" i="2"/>
  <c r="W22" i="2"/>
  <c r="V23" i="2"/>
  <c r="Y28" i="2"/>
  <c r="X29" i="2"/>
  <c r="W30" i="2"/>
  <c r="V31" i="2"/>
  <c r="Y36" i="2"/>
  <c r="X37" i="2"/>
  <c r="W38" i="2"/>
  <c r="V9" i="2"/>
  <c r="V17" i="2"/>
  <c r="V25" i="2"/>
  <c r="V33" i="2"/>
  <c r="Y7" i="2"/>
  <c r="W9" i="2"/>
  <c r="V10" i="2"/>
  <c r="Y15" i="2"/>
  <c r="W17" i="2"/>
  <c r="V18" i="2"/>
  <c r="Y23" i="2"/>
  <c r="W25" i="2"/>
  <c r="V26" i="2"/>
  <c r="Y31" i="2"/>
  <c r="W33" i="2"/>
  <c r="V34" i="2"/>
  <c r="X9" i="2"/>
  <c r="X17" i="2"/>
  <c r="X25" i="2"/>
  <c r="X33" i="2"/>
  <c r="V4" i="2"/>
  <c r="Y9" i="2"/>
  <c r="X10" i="2"/>
  <c r="V12" i="2"/>
  <c r="Y17" i="2"/>
  <c r="X18" i="2"/>
  <c r="V20" i="2"/>
  <c r="Y25" i="2"/>
  <c r="X26" i="2"/>
  <c r="V28" i="2"/>
  <c r="Y33" i="2"/>
  <c r="X34" i="2"/>
  <c r="V36" i="2"/>
  <c r="W34" i="1"/>
  <c r="AC17" i="1"/>
  <c r="V9" i="1"/>
  <c r="W31" i="1"/>
  <c r="AA15" i="1"/>
  <c r="V19" i="1"/>
  <c r="AC28" i="1"/>
  <c r="Z11" i="1"/>
  <c r="V33" i="1"/>
  <c r="AB27" i="1"/>
  <c r="Y10" i="1"/>
  <c r="AA38" i="1"/>
  <c r="AA26" i="1"/>
  <c r="X9" i="1"/>
  <c r="Z37" i="1"/>
  <c r="Z25" i="1"/>
  <c r="AC6" i="1"/>
  <c r="V8" i="1"/>
  <c r="V18" i="1"/>
  <c r="V29" i="1"/>
  <c r="AB38" i="1"/>
  <c r="AA37" i="1"/>
  <c r="Z36" i="1"/>
  <c r="Y35" i="1"/>
  <c r="X34" i="1"/>
  <c r="W33" i="1"/>
  <c r="W29" i="1"/>
  <c r="AC27" i="1"/>
  <c r="AB26" i="1"/>
  <c r="AA25" i="1"/>
  <c r="Z24" i="1"/>
  <c r="Y20" i="1"/>
  <c r="X19" i="1"/>
  <c r="W18" i="1"/>
  <c r="AC16" i="1"/>
  <c r="AB15" i="1"/>
  <c r="AA11" i="1"/>
  <c r="Z10" i="1"/>
  <c r="Y9" i="1"/>
  <c r="X8" i="1"/>
  <c r="W7" i="1"/>
  <c r="V10" i="1"/>
  <c r="V20" i="1"/>
  <c r="V34" i="1"/>
  <c r="Z38" i="1"/>
  <c r="Y37" i="1"/>
  <c r="X36" i="1"/>
  <c r="W35" i="1"/>
  <c r="AC33" i="1"/>
  <c r="AC29" i="1"/>
  <c r="AB28" i="1"/>
  <c r="AA27" i="1"/>
  <c r="Z26" i="1"/>
  <c r="Y25" i="1"/>
  <c r="X24" i="1"/>
  <c r="W20" i="1"/>
  <c r="AC18" i="1"/>
  <c r="AB17" i="1"/>
  <c r="AA16" i="1"/>
  <c r="Z15" i="1"/>
  <c r="Y11" i="1"/>
  <c r="X10" i="1"/>
  <c r="W9" i="1"/>
  <c r="AC7" i="1"/>
  <c r="AB6" i="1"/>
  <c r="Y24" i="1"/>
  <c r="W8" i="1"/>
  <c r="V11" i="1"/>
  <c r="V24" i="1"/>
  <c r="V35" i="1"/>
  <c r="Y38" i="1"/>
  <c r="X37" i="1"/>
  <c r="W36" i="1"/>
  <c r="AC34" i="1"/>
  <c r="AB33" i="1"/>
  <c r="AB29" i="1"/>
  <c r="AA28" i="1"/>
  <c r="Z27" i="1"/>
  <c r="Y26" i="1"/>
  <c r="X25" i="1"/>
  <c r="W24" i="1"/>
  <c r="AC19" i="1"/>
  <c r="AB18" i="1"/>
  <c r="AA17" i="1"/>
  <c r="Z16" i="1"/>
  <c r="Y15" i="1"/>
  <c r="X11" i="1"/>
  <c r="W10" i="1"/>
  <c r="AC8" i="1"/>
  <c r="AB7" i="1"/>
  <c r="AA6" i="1"/>
  <c r="V14" i="1"/>
  <c r="V25" i="1"/>
  <c r="V36" i="1"/>
  <c r="X38" i="1"/>
  <c r="W37" i="1"/>
  <c r="AC35" i="1"/>
  <c r="AB34" i="1"/>
  <c r="AA33" i="1"/>
  <c r="AA29" i="1"/>
  <c r="Z28" i="1"/>
  <c r="Y27" i="1"/>
  <c r="X26" i="1"/>
  <c r="W25" i="1"/>
  <c r="AC20" i="1"/>
  <c r="AB19" i="1"/>
  <c r="AA18" i="1"/>
  <c r="Z17" i="1"/>
  <c r="Y16" i="1"/>
  <c r="X15" i="1"/>
  <c r="W11" i="1"/>
  <c r="AC9" i="1"/>
  <c r="AB8" i="1"/>
  <c r="AA7" i="1"/>
  <c r="Z6" i="1"/>
  <c r="V15" i="1"/>
  <c r="V26" i="1"/>
  <c r="V37" i="1"/>
  <c r="W38" i="1"/>
  <c r="AC36" i="1"/>
  <c r="AB35" i="1"/>
  <c r="AA34" i="1"/>
  <c r="Z33" i="1"/>
  <c r="Z29" i="1"/>
  <c r="Y28" i="1"/>
  <c r="X27" i="1"/>
  <c r="W26" i="1"/>
  <c r="AC24" i="1"/>
  <c r="AB20" i="1"/>
  <c r="AA19" i="1"/>
  <c r="Z18" i="1"/>
  <c r="Y17" i="1"/>
  <c r="X16" i="1"/>
  <c r="W15" i="1"/>
  <c r="AC10" i="1"/>
  <c r="AB9" i="1"/>
  <c r="AA8" i="1"/>
  <c r="Z7" i="1"/>
  <c r="Y6" i="1"/>
  <c r="AB16" i="1"/>
  <c r="V6" i="1"/>
  <c r="V16" i="1"/>
  <c r="V27" i="1"/>
  <c r="V38" i="1"/>
  <c r="AC37" i="1"/>
  <c r="AB36" i="1"/>
  <c r="AA35" i="1"/>
  <c r="Z34" i="1"/>
  <c r="Y33" i="1"/>
  <c r="Y29" i="1"/>
  <c r="X28" i="1"/>
  <c r="AC25" i="1"/>
  <c r="AB24" i="1"/>
  <c r="AA20" i="1"/>
  <c r="Z19" i="1"/>
  <c r="Y18" i="1"/>
  <c r="X17" i="1"/>
  <c r="AC11" i="1"/>
  <c r="AB10" i="1"/>
  <c r="AA9" i="1"/>
  <c r="Z8" i="1"/>
  <c r="Y7" i="1"/>
  <c r="X6" i="1"/>
  <c r="V7" i="1"/>
  <c r="V17" i="1"/>
  <c r="V28" i="1"/>
  <c r="V22" i="1"/>
  <c r="X21" i="1"/>
  <c r="Z31" i="1"/>
  <c r="AC21" i="1"/>
  <c r="W12" i="1"/>
  <c r="V3" i="1"/>
  <c r="Y30" i="1"/>
  <c r="AC5" i="1"/>
  <c r="Y14" i="1"/>
  <c r="X5" i="1"/>
  <c r="Z23" i="1"/>
  <c r="AC13" i="1"/>
  <c r="AB4" i="1"/>
  <c r="W23" i="1"/>
  <c r="X13" i="1"/>
  <c r="W4" i="1"/>
  <c r="V30" i="1"/>
  <c r="Y22" i="1"/>
  <c r="AB12" i="1"/>
  <c r="AA3" i="1"/>
  <c r="V4" i="1"/>
  <c r="V12" i="1"/>
  <c r="Z32" i="1"/>
  <c r="Y31" i="1"/>
  <c r="X30" i="1"/>
  <c r="Y23" i="1"/>
  <c r="X22" i="1"/>
  <c r="W21" i="1"/>
  <c r="X14" i="1"/>
  <c r="W13" i="1"/>
  <c r="W5" i="1"/>
  <c r="AC3" i="1"/>
  <c r="AA32" i="1"/>
  <c r="V5" i="1"/>
  <c r="V13" i="1"/>
  <c r="V21" i="1"/>
  <c r="Y32" i="1"/>
  <c r="X31" i="1"/>
  <c r="W30" i="1"/>
  <c r="X23" i="1"/>
  <c r="W22" i="1"/>
  <c r="W14" i="1"/>
  <c r="AC12" i="1"/>
  <c r="AC4" i="1"/>
  <c r="AB3" i="1"/>
  <c r="V23" i="1"/>
  <c r="V31" i="1"/>
  <c r="W32" i="1"/>
  <c r="AC30" i="1"/>
  <c r="AC22" i="1"/>
  <c r="AB21" i="1"/>
  <c r="AC14" i="1"/>
  <c r="AB13" i="1"/>
  <c r="AA12" i="1"/>
  <c r="AB5" i="1"/>
  <c r="AA4" i="1"/>
  <c r="Z3" i="1"/>
  <c r="V32" i="1"/>
  <c r="AC31" i="1"/>
  <c r="AB30" i="1"/>
  <c r="AC23" i="1"/>
  <c r="AB22" i="1"/>
  <c r="AA21" i="1"/>
  <c r="AB14" i="1"/>
  <c r="AA13" i="1"/>
  <c r="Z12" i="1"/>
  <c r="AA5" i="1"/>
  <c r="Z4" i="1"/>
  <c r="Y3" i="1"/>
  <c r="AC32" i="1"/>
  <c r="AB31" i="1"/>
  <c r="AA30" i="1"/>
  <c r="AB23" i="1"/>
  <c r="AA22" i="1"/>
  <c r="Z21" i="1"/>
  <c r="AA14" i="1"/>
  <c r="Z13" i="1"/>
  <c r="Y12" i="1"/>
  <c r="Z5" i="1"/>
  <c r="Y4" i="1"/>
  <c r="X3" i="1"/>
  <c r="X32" i="1"/>
</calcChain>
</file>

<file path=xl/sharedStrings.xml><?xml version="1.0" encoding="utf-8"?>
<sst xmlns="http://schemas.openxmlformats.org/spreadsheetml/2006/main" count="1085" uniqueCount="180">
  <si>
    <t>HA0_1</t>
  </si>
  <si>
    <t>HA0_2</t>
  </si>
  <si>
    <t>HA0_3</t>
  </si>
  <si>
    <t>HA30_1</t>
  </si>
  <si>
    <t>HA30_2</t>
  </si>
  <si>
    <t>HA30_3</t>
  </si>
  <si>
    <t>HA3600_1</t>
  </si>
  <si>
    <t>HA3600_2</t>
  </si>
  <si>
    <t>HA3600_3</t>
  </si>
  <si>
    <t>HB0_1</t>
  </si>
  <si>
    <t>HB0_2</t>
  </si>
  <si>
    <t>HB0_3</t>
  </si>
  <si>
    <t>HB30_1</t>
  </si>
  <si>
    <t>HB30_2</t>
  </si>
  <si>
    <t>HB30_3</t>
  </si>
  <si>
    <t>HB3600_1</t>
  </si>
  <si>
    <t>HB3600_2</t>
  </si>
  <si>
    <t>HB3600_3</t>
  </si>
  <si>
    <t>RA0_1</t>
  </si>
  <si>
    <t>RA0_2</t>
  </si>
  <si>
    <t>RA0_3</t>
  </si>
  <si>
    <t>RA30_1</t>
  </si>
  <si>
    <t>RA30_2</t>
  </si>
  <si>
    <t>RA30_3</t>
  </si>
  <si>
    <t>RA3600_1</t>
  </si>
  <si>
    <t>RA3600_2</t>
  </si>
  <si>
    <t>RA3600_3</t>
  </si>
  <si>
    <t>RB0_1</t>
  </si>
  <si>
    <t>RB0_2</t>
  </si>
  <si>
    <t>RB0_3</t>
  </si>
  <si>
    <t>RB30_1</t>
  </si>
  <si>
    <t>RB30_2</t>
  </si>
  <si>
    <t>RB30_3</t>
  </si>
  <si>
    <t>RB3600_1</t>
  </si>
  <si>
    <t>RB3600_2</t>
  </si>
  <si>
    <t>RB3600_3</t>
  </si>
  <si>
    <t>m+0</t>
  </si>
  <si>
    <t>m+1</t>
  </si>
  <si>
    <t>m+2</t>
  </si>
  <si>
    <t>m+3</t>
  </si>
  <si>
    <t>m+4</t>
  </si>
  <si>
    <t>m+5</t>
  </si>
  <si>
    <t>m+6</t>
  </si>
  <si>
    <t>m+7</t>
  </si>
  <si>
    <t>Glucose</t>
  </si>
  <si>
    <t>Total Peak Area</t>
  </si>
  <si>
    <t>Peak Area</t>
  </si>
  <si>
    <t>Relative Abundance</t>
  </si>
  <si>
    <t>ug prot</t>
  </si>
  <si>
    <t>Peak Area/ug prot</t>
  </si>
  <si>
    <t>GA3P</t>
  </si>
  <si>
    <t>DHAP</t>
  </si>
  <si>
    <t>PEP</t>
  </si>
  <si>
    <t>PYRUVATE</t>
  </si>
  <si>
    <t>LACTATE</t>
  </si>
  <si>
    <t>R5P</t>
  </si>
  <si>
    <t>E4P</t>
  </si>
  <si>
    <t>S7P</t>
  </si>
  <si>
    <t>Label</t>
  </si>
  <si>
    <t>Sample</t>
  </si>
  <si>
    <t>Abs 1</t>
  </si>
  <si>
    <t>Abs2</t>
  </si>
  <si>
    <t>blank</t>
  </si>
  <si>
    <t>BSA 25 ug</t>
  </si>
  <si>
    <t>BSA 50 ug</t>
  </si>
  <si>
    <t>BSA 100 ug</t>
  </si>
  <si>
    <t>BSA 200 ug</t>
  </si>
  <si>
    <t>BSA 400 ug</t>
  </si>
  <si>
    <t>BSA 600 ug</t>
  </si>
  <si>
    <t>RA1 0h</t>
  </si>
  <si>
    <t>769P siSCR1 0h</t>
  </si>
  <si>
    <t>RA2 0h</t>
  </si>
  <si>
    <t>769P siSCR2 0h</t>
  </si>
  <si>
    <t>RA3 0h</t>
  </si>
  <si>
    <t>769P siSCR3 0h</t>
  </si>
  <si>
    <t>RA1 30'</t>
  </si>
  <si>
    <t>769P siSCR1 30 min</t>
  </si>
  <si>
    <t>RA2 30'</t>
  </si>
  <si>
    <t>769P siSCR2 30 min</t>
  </si>
  <si>
    <t>RA3 30'</t>
  </si>
  <si>
    <t>769P siSCR3 30 min</t>
  </si>
  <si>
    <t>RA1 6h</t>
  </si>
  <si>
    <t>769P siSCR1 6h</t>
  </si>
  <si>
    <t>RA2 6h</t>
  </si>
  <si>
    <t>769P siSCR2 6h</t>
  </si>
  <si>
    <t>RA3 6h</t>
  </si>
  <si>
    <t>769P siSCR3 6h</t>
  </si>
  <si>
    <t>RB1 0h</t>
  </si>
  <si>
    <t>769P siAKR1A1 1 0h</t>
  </si>
  <si>
    <t>RB2 0h</t>
  </si>
  <si>
    <t>769P siAKR1A1 2 0h</t>
  </si>
  <si>
    <t>RB3 0h</t>
  </si>
  <si>
    <t>769P siAKR1A1 3 0h</t>
  </si>
  <si>
    <t>RB1 30'</t>
  </si>
  <si>
    <t>769P siAKR1A1 1 30 min</t>
  </si>
  <si>
    <t>RB2 30'</t>
  </si>
  <si>
    <t>769P siAKR1A1 2 30 min</t>
  </si>
  <si>
    <t>RB3 30'</t>
  </si>
  <si>
    <t>769P siAKR1A1 3 30 min</t>
  </si>
  <si>
    <t>RB1 6h</t>
  </si>
  <si>
    <t>769P siAKR1A1 1 6h</t>
  </si>
  <si>
    <t>RB2 6h</t>
  </si>
  <si>
    <t>769P siAKR1A1 2 6h</t>
  </si>
  <si>
    <t>RB3 6h</t>
  </si>
  <si>
    <t>769P siAKR1A1 3 6h</t>
  </si>
  <si>
    <t>HA1 0h</t>
  </si>
  <si>
    <t>Huh7 siSCR1 0h</t>
  </si>
  <si>
    <t>HA2 0h</t>
  </si>
  <si>
    <t>Huh7 siSCR2 0h</t>
  </si>
  <si>
    <t>HA3 0h</t>
  </si>
  <si>
    <t>Huh7 siSCR3 0h</t>
  </si>
  <si>
    <t>HA1 30'</t>
  </si>
  <si>
    <t>Huh7 siSCR1 30 min</t>
  </si>
  <si>
    <t>HA2 30'</t>
  </si>
  <si>
    <t>Huh7 siSCR2 30 min</t>
  </si>
  <si>
    <t>HA3 30'</t>
  </si>
  <si>
    <t>Huh7 siSCR3 30 min</t>
  </si>
  <si>
    <t>HA1 6h</t>
  </si>
  <si>
    <t>Huh7 siSCR1 6h</t>
  </si>
  <si>
    <t>HA2 6h</t>
  </si>
  <si>
    <t>Huh7 siSCR2 6h</t>
  </si>
  <si>
    <t>HA3 6h</t>
  </si>
  <si>
    <t>Huh7 siSCR3 6h</t>
  </si>
  <si>
    <t>HB1 0h</t>
  </si>
  <si>
    <t>Huh7 siAKR1A1 1 0h</t>
  </si>
  <si>
    <t>HB2 0h</t>
  </si>
  <si>
    <t>Huh7 siAKR1A1 2 0h</t>
  </si>
  <si>
    <t>HB3 0h</t>
  </si>
  <si>
    <t>Huh7 siAKR1A1 3 0h</t>
  </si>
  <si>
    <t>HB1 30'</t>
  </si>
  <si>
    <t>Huh7 siAKR1A1 1 30 min</t>
  </si>
  <si>
    <t>HB2 30'</t>
  </si>
  <si>
    <t>Huh7 siAKR1A1 2 30 min</t>
  </si>
  <si>
    <t>HB3 30'</t>
  </si>
  <si>
    <t>Huh7 siAKR1A1 3 30 min</t>
  </si>
  <si>
    <t>HB1 6h</t>
  </si>
  <si>
    <t>Huh7 siAKR1A1 1 6h</t>
  </si>
  <si>
    <t>HB2 6h</t>
  </si>
  <si>
    <t>Huh7 siAKR1A1 2 6h</t>
  </si>
  <si>
    <t>HB3 6h</t>
  </si>
  <si>
    <t>Huh7 siAKR1A1 3 6h</t>
  </si>
  <si>
    <t>Total Peak Area/ ug prot</t>
  </si>
  <si>
    <t>2h</t>
  </si>
  <si>
    <t>8h</t>
  </si>
  <si>
    <t>LEGEND</t>
  </si>
  <si>
    <t>Medium/cell  plate 1</t>
  </si>
  <si>
    <t>Medium plate 5</t>
  </si>
  <si>
    <t xml:space="preserve">Cells plate 1 </t>
  </si>
  <si>
    <t>Cells plate 5</t>
  </si>
  <si>
    <t>Medium plate 2</t>
  </si>
  <si>
    <t>Medium plate 6</t>
  </si>
  <si>
    <t>Cells plate 2</t>
  </si>
  <si>
    <t>robin plate 1 t0</t>
  </si>
  <si>
    <t>Medium plate 3</t>
  </si>
  <si>
    <t>Medium plate 7</t>
  </si>
  <si>
    <t>Cells plate 3</t>
  </si>
  <si>
    <t>robin plate 2 1h</t>
  </si>
  <si>
    <t>robin plate 2 6h</t>
  </si>
  <si>
    <t>Medium plate 4</t>
  </si>
  <si>
    <t>Medium/cell plate 8</t>
  </si>
  <si>
    <t>Cells plate 4</t>
  </si>
  <si>
    <t>t0 extracted</t>
  </si>
  <si>
    <t xml:space="preserve">t0 not extracted </t>
  </si>
  <si>
    <t>~End</t>
  </si>
  <si>
    <t>Copyright © 2004 Molecular Devices. All rights reserved.</t>
  </si>
  <si>
    <t>BC</t>
  </si>
  <si>
    <t>ST</t>
  </si>
  <si>
    <t xml:space="preserve"> -blank</t>
  </si>
  <si>
    <t>Blank average</t>
  </si>
  <si>
    <t>A</t>
  </si>
  <si>
    <t>B</t>
  </si>
  <si>
    <t>C</t>
  </si>
  <si>
    <t>D</t>
  </si>
  <si>
    <t xml:space="preserve">E </t>
  </si>
  <si>
    <t>F</t>
  </si>
  <si>
    <t>G</t>
  </si>
  <si>
    <t>H</t>
  </si>
  <si>
    <t>ug of protein/well</t>
  </si>
  <si>
    <t>Bmax</t>
  </si>
  <si>
    <t>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</si>
</sst>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000000000000"/>
  </numFmts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</cellStyleXfs>
  <cellXfs count="1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64" fontId="0" fillId="0" borderId="3" xfId="0" applyNumberFormat="1" applyBorder="1"/>
    <xf numFmtId="1" fontId="0" fillId="0" borderId="4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0" xfId="0" applyFont="1" applyAlignment="1">
      <alignment horizontal="center"/>
    </xf>
    <xf numFmtId="1" fontId="9" fillId="13" borderId="0" xfId="2" applyNumberFormat="1" applyFont="1" applyFill="1" applyAlignment="1">
      <alignment horizontal="center"/>
    </xf>
    <xf numFmtId="11" fontId="0" fillId="0" borderId="11" xfId="0" applyNumberFormat="1" applyBorder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13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11" fontId="0" fillId="0" borderId="17" xfId="0" applyNumberFormat="1" applyBorder="1" applyAlignment="1">
      <alignment horizontal="center" vertical="center"/>
    </xf>
    <xf numFmtId="2" fontId="0" fillId="6" borderId="5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>
      <alignment horizontal="center" vertical="center"/>
    </xf>
    <xf numFmtId="2" fontId="0" fillId="11" borderId="4" xfId="0" applyNumberFormat="1" applyFill="1" applyBorder="1" applyAlignment="1">
      <alignment horizontal="center" vertical="center"/>
    </xf>
    <xf numFmtId="2" fontId="0" fillId="11" borderId="5" xfId="0" applyNumberFormat="1" applyFill="1" applyBorder="1" applyAlignment="1">
      <alignment horizontal="center" vertical="center"/>
    </xf>
    <xf numFmtId="2" fontId="0" fillId="11" borderId="6" xfId="0" applyNumberFormat="1" applyFill="1" applyBorder="1" applyAlignment="1">
      <alignment horizontal="center" vertical="center"/>
    </xf>
    <xf numFmtId="2" fontId="0" fillId="8" borderId="4" xfId="0" applyNumberFormat="1" applyFill="1" applyBorder="1" applyAlignment="1">
      <alignment horizontal="center" vertical="center"/>
    </xf>
    <xf numFmtId="2" fontId="0" fillId="8" borderId="5" xfId="0" applyNumberFormat="1" applyFill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11" fontId="0" fillId="13" borderId="10" xfId="0" applyNumberFormat="1" applyFill="1" applyBorder="1" applyAlignment="1">
      <alignment horizontal="center" vertical="center"/>
    </xf>
    <xf numFmtId="2" fontId="0" fillId="13" borderId="14" xfId="0" applyNumberFormat="1" applyFill="1" applyBorder="1" applyAlignment="1">
      <alignment horizontal="center" vertical="center"/>
    </xf>
    <xf numFmtId="2" fontId="0" fillId="13" borderId="13" xfId="0" applyNumberFormat="1" applyFill="1" applyBorder="1" applyAlignment="1">
      <alignment horizontal="center" vertical="center"/>
    </xf>
    <xf numFmtId="2" fontId="0" fillId="13" borderId="10" xfId="0" applyNumberFormat="1" applyFill="1" applyBorder="1" applyAlignment="1">
      <alignment horizontal="center" vertical="center"/>
    </xf>
    <xf numFmtId="2" fontId="0" fillId="13" borderId="17" xfId="0" applyNumberFormat="1" applyFill="1" applyBorder="1" applyAlignment="1">
      <alignment horizontal="center" vertical="center"/>
    </xf>
    <xf numFmtId="2" fontId="0" fillId="13" borderId="12" xfId="0" applyNumberFormat="1" applyFill="1" applyBorder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2" fontId="0" fillId="13" borderId="1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0" borderId="12" xfId="0" applyBorder="1" applyAlignment="1">
      <alignment horizontal="left"/>
    </xf>
    <xf numFmtId="0" fontId="8" fillId="0" borderId="0" xfId="0" applyFont="1" applyAlignment="1">
      <alignment horizontal="left"/>
    </xf>
    <xf numFmtId="0" fontId="0" fillId="13" borderId="0" xfId="0" applyFill="1"/>
    <xf numFmtId="0" fontId="0" fillId="0" borderId="0" xfId="0" quotePrefix="1"/>
    <xf numFmtId="0" fontId="9" fillId="0" borderId="0" xfId="0" quotePrefix="1" applyFont="1"/>
    <xf numFmtId="164" fontId="9" fillId="13" borderId="0" xfId="2" applyNumberFormat="1" applyFont="1" applyFill="1" applyAlignment="1">
      <alignment horizontal="left"/>
    </xf>
    <xf numFmtId="164" fontId="9" fillId="2" borderId="0" xfId="1" applyNumberFormat="1" applyFont="1" applyAlignment="1">
      <alignment horizontal="left"/>
    </xf>
    <xf numFmtId="164" fontId="10" fillId="14" borderId="2" xfId="4" applyNumberFormat="1" applyFont="1" applyFill="1" applyAlignment="1">
      <alignment horizontal="left"/>
    </xf>
    <xf numFmtId="164" fontId="10" fillId="14" borderId="2" xfId="4" applyNumberFormat="1" applyFont="1" applyFill="1" applyAlignment="1">
      <alignment horizontal="center"/>
    </xf>
    <xf numFmtId="164" fontId="10" fillId="5" borderId="2" xfId="4" applyNumberFormat="1" applyFont="1" applyAlignment="1">
      <alignment horizontal="left"/>
    </xf>
    <xf numFmtId="164" fontId="10" fillId="5" borderId="2" xfId="4" applyNumberFormat="1" applyFont="1" applyAlignment="1">
      <alignment horizontal="center"/>
    </xf>
    <xf numFmtId="164" fontId="11" fillId="13" borderId="0" xfId="2" applyNumberFormat="1" applyFont="1" applyFill="1" applyAlignment="1">
      <alignment horizontal="left"/>
    </xf>
    <xf numFmtId="164" fontId="11" fillId="2" borderId="0" xfId="1" applyNumberFormat="1" applyFont="1" applyAlignment="1">
      <alignment horizontal="left"/>
    </xf>
    <xf numFmtId="164" fontId="12" fillId="14" borderId="2" xfId="4" applyNumberFormat="1" applyFont="1" applyFill="1" applyAlignment="1">
      <alignment horizontal="left"/>
    </xf>
    <xf numFmtId="164" fontId="12" fillId="14" borderId="2" xfId="4" applyNumberFormat="1" applyFont="1" applyFill="1" applyAlignment="1">
      <alignment horizontal="center"/>
    </xf>
    <xf numFmtId="165" fontId="0" fillId="0" borderId="0" xfId="0" applyNumberFormat="1"/>
    <xf numFmtId="164" fontId="9" fillId="15" borderId="0" xfId="2" applyNumberFormat="1" applyFont="1" applyFill="1" applyAlignment="1">
      <alignment horizontal="left"/>
    </xf>
    <xf numFmtId="164" fontId="9" fillId="7" borderId="0" xfId="1" applyNumberFormat="1" applyFont="1" applyFill="1" applyAlignment="1">
      <alignment horizontal="left"/>
    </xf>
    <xf numFmtId="164" fontId="13" fillId="5" borderId="2" xfId="4" applyNumberFormat="1" applyFont="1" applyAlignment="1">
      <alignment horizontal="left"/>
    </xf>
    <xf numFmtId="164" fontId="13" fillId="5" borderId="2" xfId="4" applyNumberFormat="1" applyFont="1" applyAlignment="1">
      <alignment horizontal="center"/>
    </xf>
    <xf numFmtId="164" fontId="5" fillId="15" borderId="0" xfId="2" applyNumberFormat="1" applyFont="1" applyFill="1" applyAlignment="1">
      <alignment horizontal="left"/>
    </xf>
    <xf numFmtId="164" fontId="5" fillId="7" borderId="0" xfId="1" applyNumberFormat="1" applyFont="1" applyFill="1" applyAlignment="1">
      <alignment horizontal="left"/>
    </xf>
    <xf numFmtId="164" fontId="10" fillId="16" borderId="18" xfId="4" applyNumberFormat="1" applyFont="1" applyFill="1" applyBorder="1" applyAlignment="1">
      <alignment horizontal="center"/>
    </xf>
    <xf numFmtId="164" fontId="13" fillId="5" borderId="18" xfId="4" applyNumberFormat="1" applyFont="1" applyBorder="1" applyAlignment="1">
      <alignment horizontal="left"/>
    </xf>
    <xf numFmtId="0" fontId="14" fillId="0" borderId="0" xfId="0" applyFont="1"/>
    <xf numFmtId="2" fontId="15" fillId="4" borderId="1" xfId="3" applyNumberFormat="1" applyFont="1" applyAlignment="1">
      <alignment horizontal="center"/>
    </xf>
    <xf numFmtId="1" fontId="0" fillId="0" borderId="0" xfId="0" applyNumberFormat="1"/>
    <xf numFmtId="0" fontId="15" fillId="5" borderId="2" xfId="4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0" fontId="6" fillId="0" borderId="0" xfId="0" applyFont="1" applyAlignment="1">
      <alignment horizontal="center" vertical="center"/>
    </xf>
    <xf numFmtId="167" fontId="3" fillId="4" borderId="1" xfId="3" applyNumberFormat="1" applyAlignment="1">
      <alignment horizontal="center" vertical="center"/>
    </xf>
    <xf numFmtId="166" fontId="3" fillId="4" borderId="1" xfId="3" applyNumberFormat="1" applyAlignment="1">
      <alignment horizontal="center" vertical="center"/>
    </xf>
    <xf numFmtId="164" fontId="0" fillId="0" borderId="0" xfId="0" applyNumberFormat="1"/>
    <xf numFmtId="0" fontId="5" fillId="0" borderId="0" xfId="0" quotePrefix="1" applyFont="1"/>
    <xf numFmtId="0" fontId="5" fillId="0" borderId="0" xfId="0" applyFont="1"/>
    <xf numFmtId="166" fontId="0" fillId="0" borderId="0" xfId="0" applyNumberFormat="1" applyAlignment="1">
      <alignment horizontal="left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11" fontId="0" fillId="0" borderId="21" xfId="0" applyNumberFormat="1" applyBorder="1" applyAlignment="1">
      <alignment horizontal="center" vertical="center"/>
    </xf>
    <xf numFmtId="11" fontId="0" fillId="0" borderId="22" xfId="0" applyNumberFormat="1" applyBorder="1" applyAlignment="1">
      <alignment horizontal="center" vertical="center"/>
    </xf>
    <xf numFmtId="11" fontId="0" fillId="0" borderId="23" xfId="0" applyNumberFormat="1" applyBorder="1" applyAlignment="1">
      <alignment horizontal="center" vertical="center"/>
    </xf>
    <xf numFmtId="11" fontId="0" fillId="13" borderId="23" xfId="0" applyNumberFormat="1" applyFill="1" applyBorder="1" applyAlignment="1">
      <alignment horizontal="center" vertical="center"/>
    </xf>
    <xf numFmtId="2" fontId="0" fillId="13" borderId="21" xfId="0" applyNumberForma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13" borderId="22" xfId="0" applyNumberFormat="1" applyFill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8" fillId="0" borderId="25" xfId="0" applyFont="1" applyBorder="1" applyAlignment="1">
      <alignment horizontal="left"/>
    </xf>
    <xf numFmtId="2" fontId="0" fillId="0" borderId="26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11" fontId="0" fillId="0" borderId="27" xfId="0" applyNumberFormat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11" fontId="0" fillId="13" borderId="29" xfId="0" applyNumberFormat="1" applyFill="1" applyBorder="1" applyAlignment="1">
      <alignment horizontal="center" vertical="center"/>
    </xf>
    <xf numFmtId="2" fontId="0" fillId="13" borderId="27" xfId="0" applyNumberFormat="1" applyFill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13" borderId="28" xfId="0" applyNumberFormat="1" applyFill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2" fontId="0" fillId="13" borderId="30" xfId="0" applyNumberFormat="1" applyFill="1" applyBorder="1" applyAlignment="1">
      <alignment horizontal="center" vertical="center"/>
    </xf>
    <xf numFmtId="2" fontId="0" fillId="13" borderId="31" xfId="0" applyNumberFormat="1" applyFill="1" applyBorder="1" applyAlignment="1">
      <alignment horizontal="center" vertical="center"/>
    </xf>
    <xf numFmtId="2" fontId="0" fillId="13" borderId="32" xfId="0" applyNumberFormat="1" applyFill="1" applyBorder="1" applyAlignment="1">
      <alignment horizontal="center" vertical="center"/>
    </xf>
    <xf numFmtId="2" fontId="0" fillId="13" borderId="23" xfId="0" applyNumberFormat="1" applyFill="1" applyBorder="1" applyAlignment="1">
      <alignment horizontal="center" vertical="center"/>
    </xf>
    <xf numFmtId="2" fontId="0" fillId="13" borderId="29" xfId="0" applyNumberForma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center" vertical="center"/>
    </xf>
    <xf numFmtId="2" fontId="6" fillId="6" borderId="6" xfId="0" applyNumberFormat="1" applyFont="1" applyFill="1" applyBorder="1" applyAlignment="1">
      <alignment horizontal="center" vertical="center"/>
    </xf>
    <xf numFmtId="2" fontId="6" fillId="10" borderId="7" xfId="0" applyNumberFormat="1" applyFont="1" applyFill="1" applyBorder="1" applyAlignment="1">
      <alignment horizontal="center" vertical="center"/>
    </xf>
    <xf numFmtId="2" fontId="6" fillId="10" borderId="9" xfId="0" applyNumberFormat="1" applyFont="1" applyFill="1" applyBorder="1" applyAlignment="1">
      <alignment horizontal="center" vertical="center"/>
    </xf>
    <xf numFmtId="2" fontId="6" fillId="12" borderId="0" xfId="0" applyNumberFormat="1" applyFont="1" applyFill="1" applyAlignment="1">
      <alignment horizontal="center" vertical="center"/>
    </xf>
    <xf numFmtId="2" fontId="6" fillId="12" borderId="10" xfId="0" applyNumberFormat="1" applyFont="1" applyFill="1" applyBorder="1" applyAlignment="1">
      <alignment horizontal="center" vertical="center"/>
    </xf>
    <xf numFmtId="2" fontId="6" fillId="12" borderId="16" xfId="0" applyNumberFormat="1" applyFont="1" applyFill="1" applyBorder="1" applyAlignment="1">
      <alignment horizontal="center" vertical="center"/>
    </xf>
    <xf numFmtId="2" fontId="6" fillId="12" borderId="17" xfId="0" applyNumberFormat="1" applyFont="1" applyFill="1" applyBorder="1" applyAlignment="1">
      <alignment horizontal="center" vertical="center"/>
    </xf>
    <xf numFmtId="2" fontId="6" fillId="9" borderId="7" xfId="0" applyNumberFormat="1" applyFont="1" applyFill="1" applyBorder="1" applyAlignment="1">
      <alignment horizontal="center" vertical="center"/>
    </xf>
    <xf numFmtId="2" fontId="6" fillId="9" borderId="9" xfId="0" applyNumberFormat="1" applyFont="1" applyFill="1" applyBorder="1" applyAlignment="1">
      <alignment horizontal="center" vertical="center"/>
    </xf>
    <xf numFmtId="2" fontId="6" fillId="11" borderId="5" xfId="0" applyNumberFormat="1" applyFont="1" applyFill="1" applyBorder="1" applyAlignment="1">
      <alignment horizontal="center" vertical="center"/>
    </xf>
    <xf numFmtId="2" fontId="6" fillId="8" borderId="4" xfId="0" applyNumberFormat="1" applyFont="1" applyFill="1" applyBorder="1" applyAlignment="1">
      <alignment horizontal="center" vertical="center"/>
    </xf>
    <xf numFmtId="2" fontId="6" fillId="8" borderId="5" xfId="0" applyNumberFormat="1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</cellXfs>
  <cellStyles count="5">
    <cellStyle name="Bad" xfId="2" builtinId="27"/>
    <cellStyle name="Check Cell" xfId="4" builtinId="23"/>
    <cellStyle name="Good" xfId="1" builtinId="26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11</xdr:row>
          <xdr:rowOff>127000</xdr:rowOff>
        </xdr:from>
        <xdr:to>
          <xdr:col>22</xdr:col>
          <xdr:colOff>228600</xdr:colOff>
          <xdr:row>26</xdr:row>
          <xdr:rowOff>50800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showGridLines="0" zoomScaleNormal="100" workbookViewId="0">
      <pane xSplit="2" topLeftCell="C1" activePane="topRight" state="frozen"/>
      <selection pane="topRight" activeCell="U30" sqref="U30:U35"/>
    </sheetView>
  </sheetViews>
  <sheetFormatPr baseColWidth="10" defaultColWidth="8.6640625" defaultRowHeight="15" x14ac:dyDescent="0.2"/>
  <cols>
    <col min="1" max="1" width="21.5" style="4" customWidth="1"/>
    <col min="2" max="2" width="9.6640625" style="4" bestFit="1" customWidth="1"/>
    <col min="3" max="3" width="7" style="4" bestFit="1" customWidth="1"/>
    <col min="4" max="4" width="8.6640625" style="4" bestFit="1" customWidth="1"/>
    <col min="5" max="9" width="4.5" style="4" bestFit="1" customWidth="1"/>
    <col min="10" max="10" width="8.6640625" style="4" bestFit="1" customWidth="1"/>
    <col min="11" max="11" width="4.5" style="4" bestFit="1" customWidth="1"/>
    <col min="12" max="19" width="8.6640625" style="4" bestFit="1" customWidth="1"/>
    <col min="20" max="20" width="14.33203125" style="4" bestFit="1" customWidth="1"/>
    <col min="21" max="21" width="21.83203125" style="4" bestFit="1" customWidth="1"/>
    <col min="22" max="22" width="6.83203125" style="4" bestFit="1" customWidth="1"/>
    <col min="23" max="27" width="4.6640625" style="4" bestFit="1" customWidth="1"/>
    <col min="28" max="28" width="5.6640625" style="4" bestFit="1" customWidth="1"/>
    <col min="29" max="29" width="4.6640625" style="4" bestFit="1" customWidth="1"/>
    <col min="30" max="16384" width="8.6640625" style="4"/>
  </cols>
  <sheetData>
    <row r="1" spans="1:29" x14ac:dyDescent="0.2">
      <c r="A1" s="121" t="s">
        <v>44</v>
      </c>
      <c r="B1" s="122"/>
      <c r="C1" s="125" t="s">
        <v>48</v>
      </c>
      <c r="D1" s="127" t="s">
        <v>46</v>
      </c>
      <c r="E1" s="127"/>
      <c r="F1" s="127"/>
      <c r="G1" s="127"/>
      <c r="H1" s="127"/>
      <c r="I1" s="127"/>
      <c r="J1" s="127"/>
      <c r="K1" s="127"/>
      <c r="L1" s="128" t="s">
        <v>49</v>
      </c>
      <c r="M1" s="129"/>
      <c r="N1" s="129"/>
      <c r="O1" s="129"/>
      <c r="P1" s="129"/>
      <c r="Q1" s="129"/>
      <c r="R1" s="129"/>
      <c r="S1" s="130"/>
      <c r="T1" s="119" t="s">
        <v>45</v>
      </c>
      <c r="U1" s="119" t="s">
        <v>141</v>
      </c>
      <c r="V1" s="117" t="s">
        <v>47</v>
      </c>
      <c r="W1" s="117"/>
      <c r="X1" s="117"/>
      <c r="Y1" s="117"/>
      <c r="Z1" s="117"/>
      <c r="AA1" s="117"/>
      <c r="AB1" s="117"/>
      <c r="AC1" s="118"/>
    </row>
    <row r="2" spans="1:29" x14ac:dyDescent="0.2">
      <c r="A2" s="123"/>
      <c r="B2" s="124"/>
      <c r="C2" s="126"/>
      <c r="D2" s="5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7" t="s">
        <v>43</v>
      </c>
      <c r="L2" s="5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7" t="s">
        <v>43</v>
      </c>
      <c r="T2" s="120"/>
      <c r="U2" s="120"/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  <c r="AB2" s="6" t="s">
        <v>42</v>
      </c>
      <c r="AC2" s="7" t="s">
        <v>43</v>
      </c>
    </row>
    <row r="3" spans="1:29" x14ac:dyDescent="0.2">
      <c r="A3" s="1" t="s">
        <v>106</v>
      </c>
      <c r="B3" s="8" t="s">
        <v>0</v>
      </c>
      <c r="C3" s="13">
        <v>151.61856590318203</v>
      </c>
      <c r="D3" s="25">
        <v>15995093</v>
      </c>
      <c r="E3" s="26"/>
      <c r="F3" s="26"/>
      <c r="G3" s="26"/>
      <c r="H3" s="26"/>
      <c r="I3" s="26"/>
      <c r="J3" s="26"/>
      <c r="K3" s="27"/>
      <c r="L3" s="28">
        <f>D3/$C3</f>
        <v>105495.60935838075</v>
      </c>
      <c r="M3" s="28">
        <f t="shared" ref="M3:S18" si="0">E3/$C3</f>
        <v>0</v>
      </c>
      <c r="N3" s="28">
        <f t="shared" si="0"/>
        <v>0</v>
      </c>
      <c r="O3" s="28">
        <f t="shared" si="0"/>
        <v>0</v>
      </c>
      <c r="P3" s="28">
        <f t="shared" si="0"/>
        <v>0</v>
      </c>
      <c r="Q3" s="28">
        <f t="shared" si="0"/>
        <v>0</v>
      </c>
      <c r="R3" s="28">
        <f t="shared" si="0"/>
        <v>0</v>
      </c>
      <c r="S3" s="28">
        <f t="shared" si="0"/>
        <v>0</v>
      </c>
      <c r="T3" s="8">
        <f>SUM(D3:K3)</f>
        <v>15995093</v>
      </c>
      <c r="U3" s="13">
        <f>SUM(L3:S3)</f>
        <v>105495.60935838075</v>
      </c>
      <c r="V3" s="10">
        <f t="shared" ref="V3:AC3" si="1">D3/$T$3*100</f>
        <v>100</v>
      </c>
      <c r="W3" s="11">
        <f t="shared" si="1"/>
        <v>0</v>
      </c>
      <c r="X3" s="11">
        <f t="shared" si="1"/>
        <v>0</v>
      </c>
      <c r="Y3" s="11">
        <f t="shared" si="1"/>
        <v>0</v>
      </c>
      <c r="Z3" s="11">
        <f t="shared" si="1"/>
        <v>0</v>
      </c>
      <c r="AA3" s="11">
        <f t="shared" si="1"/>
        <v>0</v>
      </c>
      <c r="AB3" s="11">
        <f t="shared" si="1"/>
        <v>0</v>
      </c>
      <c r="AC3" s="12">
        <f t="shared" si="1"/>
        <v>0</v>
      </c>
    </row>
    <row r="4" spans="1:29" x14ac:dyDescent="0.2">
      <c r="A4" s="1" t="s">
        <v>108</v>
      </c>
      <c r="B4" s="8" t="s">
        <v>1</v>
      </c>
      <c r="C4" s="13">
        <v>144.60827361219867</v>
      </c>
      <c r="D4" s="29">
        <v>68468402</v>
      </c>
      <c r="E4" s="30"/>
      <c r="F4" s="30"/>
      <c r="G4" s="30"/>
      <c r="H4" s="30"/>
      <c r="I4" s="30"/>
      <c r="J4" s="30"/>
      <c r="K4" s="28"/>
      <c r="L4" s="28">
        <f t="shared" ref="L4:S38" si="2">D4/$C4</f>
        <v>473474.99758979375</v>
      </c>
      <c r="M4" s="28">
        <f t="shared" si="0"/>
        <v>0</v>
      </c>
      <c r="N4" s="28">
        <f t="shared" si="0"/>
        <v>0</v>
      </c>
      <c r="O4" s="28">
        <f t="shared" si="0"/>
        <v>0</v>
      </c>
      <c r="P4" s="28">
        <f t="shared" si="0"/>
        <v>0</v>
      </c>
      <c r="Q4" s="28">
        <f t="shared" si="0"/>
        <v>0</v>
      </c>
      <c r="R4" s="28">
        <f t="shared" si="0"/>
        <v>0</v>
      </c>
      <c r="S4" s="28">
        <f t="shared" si="0"/>
        <v>0</v>
      </c>
      <c r="T4" s="8">
        <f t="shared" ref="T4:T38" si="3">SUM(D4:K4)</f>
        <v>68468402</v>
      </c>
      <c r="U4" s="13">
        <f t="shared" ref="U4:U38" si="4">SUM(L4:S4)</f>
        <v>473474.99758979375</v>
      </c>
      <c r="V4" s="13">
        <f t="shared" ref="V4:AC4" si="5">D4/$T$4*100</f>
        <v>100</v>
      </c>
      <c r="W4" s="4">
        <f t="shared" si="5"/>
        <v>0</v>
      </c>
      <c r="X4" s="4">
        <f t="shared" si="5"/>
        <v>0</v>
      </c>
      <c r="Y4" s="4">
        <f t="shared" si="5"/>
        <v>0</v>
      </c>
      <c r="Z4" s="4">
        <f t="shared" si="5"/>
        <v>0</v>
      </c>
      <c r="AA4" s="4">
        <f t="shared" si="5"/>
        <v>0</v>
      </c>
      <c r="AB4" s="4">
        <f t="shared" si="5"/>
        <v>0</v>
      </c>
      <c r="AC4" s="14">
        <f t="shared" si="5"/>
        <v>0</v>
      </c>
    </row>
    <row r="5" spans="1:29" ht="16" x14ac:dyDescent="0.2">
      <c r="A5" s="52" t="s">
        <v>110</v>
      </c>
      <c r="B5" s="8" t="s">
        <v>2</v>
      </c>
      <c r="C5" s="13">
        <v>126.18510720293932</v>
      </c>
      <c r="D5" s="29">
        <v>93546691</v>
      </c>
      <c r="E5" s="30"/>
      <c r="F5" s="30"/>
      <c r="G5" s="30"/>
      <c r="H5" s="30"/>
      <c r="I5" s="30"/>
      <c r="J5" s="30"/>
      <c r="K5" s="28"/>
      <c r="L5" s="28">
        <f t="shared" si="2"/>
        <v>741344.94215352973</v>
      </c>
      <c r="M5" s="28">
        <f t="shared" si="0"/>
        <v>0</v>
      </c>
      <c r="N5" s="28">
        <f t="shared" si="0"/>
        <v>0</v>
      </c>
      <c r="O5" s="28">
        <f t="shared" si="0"/>
        <v>0</v>
      </c>
      <c r="P5" s="28">
        <f t="shared" si="0"/>
        <v>0</v>
      </c>
      <c r="Q5" s="28">
        <f t="shared" si="0"/>
        <v>0</v>
      </c>
      <c r="R5" s="28">
        <f t="shared" si="0"/>
        <v>0</v>
      </c>
      <c r="S5" s="28">
        <f t="shared" si="0"/>
        <v>0</v>
      </c>
      <c r="T5" s="8">
        <f t="shared" si="3"/>
        <v>93546691</v>
      </c>
      <c r="U5" s="13">
        <f t="shared" si="4"/>
        <v>741344.94215352973</v>
      </c>
      <c r="V5" s="13">
        <f t="shared" ref="V5:AC5" si="6">D5/$T$5*100</f>
        <v>100</v>
      </c>
      <c r="W5" s="4">
        <f t="shared" si="6"/>
        <v>0</v>
      </c>
      <c r="X5" s="4">
        <f t="shared" si="6"/>
        <v>0</v>
      </c>
      <c r="Y5" s="4">
        <f t="shared" si="6"/>
        <v>0</v>
      </c>
      <c r="Z5" s="4">
        <f t="shared" si="6"/>
        <v>0</v>
      </c>
      <c r="AA5" s="4">
        <f t="shared" si="6"/>
        <v>0</v>
      </c>
      <c r="AB5" s="4">
        <f t="shared" si="6"/>
        <v>0</v>
      </c>
      <c r="AC5" s="14">
        <f t="shared" si="6"/>
        <v>0</v>
      </c>
    </row>
    <row r="6" spans="1:29" ht="16" x14ac:dyDescent="0.2">
      <c r="A6" s="52" t="s">
        <v>112</v>
      </c>
      <c r="B6" s="8" t="s">
        <v>3</v>
      </c>
      <c r="C6" s="13">
        <v>139.22341121667353</v>
      </c>
      <c r="D6" s="29">
        <v>1043523</v>
      </c>
      <c r="E6" s="30"/>
      <c r="F6" s="30"/>
      <c r="G6" s="30"/>
      <c r="H6" s="30"/>
      <c r="I6" s="30"/>
      <c r="J6" s="30">
        <v>53760089</v>
      </c>
      <c r="K6" s="28"/>
      <c r="L6" s="28">
        <f t="shared" si="2"/>
        <v>7495.3126839850529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386142.59290295024</v>
      </c>
      <c r="S6" s="28">
        <f t="shared" si="0"/>
        <v>0</v>
      </c>
      <c r="T6" s="8">
        <f t="shared" si="3"/>
        <v>54803612</v>
      </c>
      <c r="U6" s="13">
        <f t="shared" si="4"/>
        <v>393637.90558693529</v>
      </c>
      <c r="V6" s="13">
        <f t="shared" ref="V6:AC6" si="7">D6/$T$6*100</f>
        <v>1.9041135463844974</v>
      </c>
      <c r="W6" s="4">
        <f t="shared" si="7"/>
        <v>0</v>
      </c>
      <c r="X6" s="4">
        <f t="shared" si="7"/>
        <v>0</v>
      </c>
      <c r="Y6" s="4">
        <f t="shared" si="7"/>
        <v>0</v>
      </c>
      <c r="Z6" s="4">
        <f t="shared" si="7"/>
        <v>0</v>
      </c>
      <c r="AA6" s="4">
        <f t="shared" si="7"/>
        <v>0</v>
      </c>
      <c r="AB6" s="4">
        <f t="shared" si="7"/>
        <v>98.095886453615506</v>
      </c>
      <c r="AC6" s="14">
        <f t="shared" si="7"/>
        <v>0</v>
      </c>
    </row>
    <row r="7" spans="1:29" ht="16" x14ac:dyDescent="0.2">
      <c r="A7" s="52" t="s">
        <v>114</v>
      </c>
      <c r="B7" s="8" t="s">
        <v>4</v>
      </c>
      <c r="C7" s="13">
        <v>151.90975415986941</v>
      </c>
      <c r="D7" s="29">
        <v>1880204</v>
      </c>
      <c r="E7" s="30"/>
      <c r="F7" s="30"/>
      <c r="G7" s="30"/>
      <c r="H7" s="30"/>
      <c r="I7" s="30"/>
      <c r="J7" s="30">
        <v>79135261</v>
      </c>
      <c r="K7" s="28"/>
      <c r="L7" s="28">
        <f t="shared" si="2"/>
        <v>12377.111729252609</v>
      </c>
      <c r="M7" s="28">
        <f t="shared" si="0"/>
        <v>0</v>
      </c>
      <c r="N7" s="28">
        <f t="shared" si="0"/>
        <v>0</v>
      </c>
      <c r="O7" s="28">
        <f t="shared" si="0"/>
        <v>0</v>
      </c>
      <c r="P7" s="28">
        <f t="shared" si="0"/>
        <v>0</v>
      </c>
      <c r="Q7" s="28">
        <f t="shared" si="0"/>
        <v>0</v>
      </c>
      <c r="R7" s="28">
        <f t="shared" si="0"/>
        <v>520936.00860362308</v>
      </c>
      <c r="S7" s="28">
        <f t="shared" si="0"/>
        <v>0</v>
      </c>
      <c r="T7" s="8">
        <f t="shared" si="3"/>
        <v>81015465</v>
      </c>
      <c r="U7" s="13">
        <f t="shared" si="4"/>
        <v>533313.12033287564</v>
      </c>
      <c r="V7" s="13">
        <f t="shared" ref="V7:AC7" si="8">D7/$T$7*100</f>
        <v>2.3207964059701438</v>
      </c>
      <c r="W7" s="4">
        <f t="shared" si="8"/>
        <v>0</v>
      </c>
      <c r="X7" s="4">
        <f t="shared" si="8"/>
        <v>0</v>
      </c>
      <c r="Y7" s="4">
        <f t="shared" si="8"/>
        <v>0</v>
      </c>
      <c r="Z7" s="4">
        <f t="shared" si="8"/>
        <v>0</v>
      </c>
      <c r="AA7" s="4">
        <f t="shared" si="8"/>
        <v>0</v>
      </c>
      <c r="AB7" s="4">
        <f t="shared" si="8"/>
        <v>97.679203594029858</v>
      </c>
      <c r="AC7" s="14">
        <f t="shared" si="8"/>
        <v>0</v>
      </c>
    </row>
    <row r="8" spans="1:29" ht="17" thickBot="1" x14ac:dyDescent="0.25">
      <c r="A8" s="52" t="s">
        <v>116</v>
      </c>
      <c r="B8" s="8" t="s">
        <v>5</v>
      </c>
      <c r="C8" s="13">
        <v>108.99908875208385</v>
      </c>
      <c r="D8" s="29">
        <v>1518753</v>
      </c>
      <c r="E8" s="30"/>
      <c r="F8" s="30"/>
      <c r="G8" s="30"/>
      <c r="H8" s="30"/>
      <c r="I8" s="30"/>
      <c r="J8" s="30">
        <v>72772849</v>
      </c>
      <c r="K8" s="28"/>
      <c r="L8" s="28">
        <f t="shared" si="2"/>
        <v>13933.630247628693</v>
      </c>
      <c r="M8" s="28">
        <f t="shared" si="0"/>
        <v>0</v>
      </c>
      <c r="N8" s="28">
        <f t="shared" si="0"/>
        <v>0</v>
      </c>
      <c r="O8" s="28">
        <f t="shared" si="0"/>
        <v>0</v>
      </c>
      <c r="P8" s="28">
        <f t="shared" si="0"/>
        <v>0</v>
      </c>
      <c r="Q8" s="28">
        <f t="shared" si="0"/>
        <v>0</v>
      </c>
      <c r="R8" s="28">
        <f t="shared" si="0"/>
        <v>667646.39808613749</v>
      </c>
      <c r="S8" s="28">
        <f t="shared" si="0"/>
        <v>0</v>
      </c>
      <c r="T8" s="8">
        <f t="shared" si="3"/>
        <v>74291602</v>
      </c>
      <c r="U8" s="13">
        <f t="shared" si="4"/>
        <v>681580.02833376615</v>
      </c>
      <c r="V8" s="13">
        <f t="shared" ref="V8:AC8" si="9">D8/$T$8*100</f>
        <v>2.0443131647638988</v>
      </c>
      <c r="W8" s="4">
        <f t="shared" si="9"/>
        <v>0</v>
      </c>
      <c r="X8" s="4">
        <f t="shared" si="9"/>
        <v>0</v>
      </c>
      <c r="Y8" s="4">
        <f t="shared" si="9"/>
        <v>0</v>
      </c>
      <c r="Z8" s="4">
        <f t="shared" si="9"/>
        <v>0</v>
      </c>
      <c r="AA8" s="4">
        <f t="shared" si="9"/>
        <v>0</v>
      </c>
      <c r="AB8" s="4">
        <f t="shared" si="9"/>
        <v>97.955686835236094</v>
      </c>
      <c r="AC8" s="14">
        <f t="shared" si="9"/>
        <v>0</v>
      </c>
    </row>
    <row r="9" spans="1:29" x14ac:dyDescent="0.2">
      <c r="A9" s="109" t="s">
        <v>118</v>
      </c>
      <c r="B9" s="8" t="s">
        <v>6</v>
      </c>
      <c r="C9" s="13">
        <v>156.73380954252787</v>
      </c>
      <c r="D9" s="29">
        <v>567177</v>
      </c>
      <c r="E9" s="30"/>
      <c r="F9" s="30"/>
      <c r="G9" s="30"/>
      <c r="H9" s="30"/>
      <c r="I9" s="30"/>
      <c r="J9" s="30">
        <v>37047646</v>
      </c>
      <c r="K9" s="28"/>
      <c r="L9" s="28">
        <f t="shared" si="2"/>
        <v>3618.7278396120605</v>
      </c>
      <c r="M9" s="28">
        <f t="shared" si="0"/>
        <v>0</v>
      </c>
      <c r="N9" s="28">
        <f t="shared" si="0"/>
        <v>0</v>
      </c>
      <c r="O9" s="28">
        <f t="shared" si="0"/>
        <v>0</v>
      </c>
      <c r="P9" s="28">
        <f t="shared" si="0"/>
        <v>0</v>
      </c>
      <c r="Q9" s="28">
        <f t="shared" si="0"/>
        <v>0</v>
      </c>
      <c r="R9" s="28">
        <f t="shared" si="0"/>
        <v>236373.03341336548</v>
      </c>
      <c r="S9" s="28">
        <f t="shared" si="0"/>
        <v>0</v>
      </c>
      <c r="T9" s="8">
        <f t="shared" si="3"/>
        <v>37614823</v>
      </c>
      <c r="U9" s="13">
        <f t="shared" si="4"/>
        <v>239991.76125297754</v>
      </c>
      <c r="V9" s="13">
        <f t="shared" ref="V9:AC9" si="10">D9/$T$9*100</f>
        <v>1.5078550283222123</v>
      </c>
      <c r="W9" s="4">
        <f t="shared" si="10"/>
        <v>0</v>
      </c>
      <c r="X9" s="4">
        <f t="shared" si="10"/>
        <v>0</v>
      </c>
      <c r="Y9" s="4">
        <f t="shared" si="10"/>
        <v>0</v>
      </c>
      <c r="Z9" s="4">
        <f t="shared" si="10"/>
        <v>0</v>
      </c>
      <c r="AA9" s="4">
        <f t="shared" si="10"/>
        <v>0</v>
      </c>
      <c r="AB9" s="4">
        <f t="shared" si="10"/>
        <v>98.492144971677789</v>
      </c>
      <c r="AC9" s="14">
        <f t="shared" si="10"/>
        <v>0</v>
      </c>
    </row>
    <row r="10" spans="1:29" x14ac:dyDescent="0.2">
      <c r="A10" s="110" t="s">
        <v>120</v>
      </c>
      <c r="B10" s="8" t="s">
        <v>7</v>
      </c>
      <c r="C10" s="13">
        <v>145.0979296286427</v>
      </c>
      <c r="D10" s="29">
        <v>885249</v>
      </c>
      <c r="E10" s="30"/>
      <c r="F10" s="30"/>
      <c r="G10" s="30"/>
      <c r="H10" s="30"/>
      <c r="I10" s="30"/>
      <c r="J10" s="30">
        <v>72755718</v>
      </c>
      <c r="K10" s="28"/>
      <c r="L10" s="28">
        <f t="shared" si="2"/>
        <v>6101.0450132932119</v>
      </c>
      <c r="M10" s="28">
        <f t="shared" si="0"/>
        <v>0</v>
      </c>
      <c r="N10" s="28">
        <f t="shared" si="0"/>
        <v>0</v>
      </c>
      <c r="O10" s="28">
        <f t="shared" si="0"/>
        <v>0</v>
      </c>
      <c r="P10" s="28">
        <f t="shared" si="0"/>
        <v>0</v>
      </c>
      <c r="Q10" s="28">
        <f t="shared" si="0"/>
        <v>0</v>
      </c>
      <c r="R10" s="28">
        <f t="shared" si="0"/>
        <v>501424.92168019078</v>
      </c>
      <c r="S10" s="28">
        <f t="shared" si="0"/>
        <v>0</v>
      </c>
      <c r="T10" s="8">
        <f t="shared" si="3"/>
        <v>73640967</v>
      </c>
      <c r="U10" s="13">
        <f t="shared" si="4"/>
        <v>507525.96669348399</v>
      </c>
      <c r="V10" s="13">
        <f t="shared" ref="V10:AC10" si="11">D10/$T$10*100</f>
        <v>1.2021148500127654</v>
      </c>
      <c r="W10" s="4">
        <f t="shared" si="11"/>
        <v>0</v>
      </c>
      <c r="X10" s="4">
        <f t="shared" si="11"/>
        <v>0</v>
      </c>
      <c r="Y10" s="4">
        <f t="shared" si="11"/>
        <v>0</v>
      </c>
      <c r="Z10" s="4">
        <f t="shared" si="11"/>
        <v>0</v>
      </c>
      <c r="AA10" s="4">
        <f t="shared" si="11"/>
        <v>0</v>
      </c>
      <c r="AB10" s="4">
        <f t="shared" si="11"/>
        <v>98.797885149987223</v>
      </c>
      <c r="AC10" s="14">
        <f t="shared" si="11"/>
        <v>0</v>
      </c>
    </row>
    <row r="11" spans="1:29" ht="17" thickBot="1" x14ac:dyDescent="0.25">
      <c r="A11" s="98" t="s">
        <v>122</v>
      </c>
      <c r="B11" s="8" t="s">
        <v>8</v>
      </c>
      <c r="C11" s="13">
        <v>127.74830304604941</v>
      </c>
      <c r="D11" s="29">
        <v>1288456</v>
      </c>
      <c r="E11" s="30"/>
      <c r="F11" s="30"/>
      <c r="G11" s="30"/>
      <c r="H11" s="30"/>
      <c r="I11" s="30"/>
      <c r="J11" s="30">
        <v>90752104</v>
      </c>
      <c r="K11" s="28"/>
      <c r="L11" s="28">
        <f t="shared" si="2"/>
        <v>10085.895227395313</v>
      </c>
      <c r="M11" s="28">
        <f t="shared" si="0"/>
        <v>0</v>
      </c>
      <c r="N11" s="28">
        <f t="shared" si="0"/>
        <v>0</v>
      </c>
      <c r="O11" s="28">
        <f t="shared" si="0"/>
        <v>0</v>
      </c>
      <c r="P11" s="28">
        <f t="shared" si="0"/>
        <v>0</v>
      </c>
      <c r="Q11" s="28">
        <f t="shared" si="0"/>
        <v>0</v>
      </c>
      <c r="R11" s="28">
        <f t="shared" si="0"/>
        <v>710397.72612311412</v>
      </c>
      <c r="S11" s="28">
        <f t="shared" si="0"/>
        <v>0</v>
      </c>
      <c r="T11" s="8">
        <f t="shared" si="3"/>
        <v>92040560</v>
      </c>
      <c r="U11" s="13">
        <f t="shared" si="4"/>
        <v>720483.62135050946</v>
      </c>
      <c r="V11" s="13">
        <f t="shared" ref="V11:AC11" si="12">D11/$T$11*100</f>
        <v>1.3998784883533955</v>
      </c>
      <c r="W11" s="4">
        <f t="shared" si="12"/>
        <v>0</v>
      </c>
      <c r="X11" s="4">
        <f t="shared" si="12"/>
        <v>0</v>
      </c>
      <c r="Y11" s="4">
        <f t="shared" si="12"/>
        <v>0</v>
      </c>
      <c r="Z11" s="4">
        <f t="shared" si="12"/>
        <v>0</v>
      </c>
      <c r="AA11" s="4">
        <f t="shared" si="12"/>
        <v>0</v>
      </c>
      <c r="AB11" s="4">
        <f t="shared" si="12"/>
        <v>98.600121511646606</v>
      </c>
      <c r="AC11" s="14">
        <f t="shared" si="12"/>
        <v>0</v>
      </c>
    </row>
    <row r="12" spans="1:29" x14ac:dyDescent="0.2">
      <c r="A12" s="1" t="s">
        <v>124</v>
      </c>
      <c r="B12" s="8" t="s">
        <v>9</v>
      </c>
      <c r="C12" s="13">
        <v>130.41766483297067</v>
      </c>
      <c r="D12" s="29">
        <v>41363308</v>
      </c>
      <c r="E12" s="30"/>
      <c r="F12" s="30"/>
      <c r="G12" s="30"/>
      <c r="H12" s="30"/>
      <c r="I12" s="30"/>
      <c r="J12" s="30"/>
      <c r="K12" s="28"/>
      <c r="L12" s="28">
        <f t="shared" si="2"/>
        <v>317160.31760709005</v>
      </c>
      <c r="M12" s="28">
        <f t="shared" si="0"/>
        <v>0</v>
      </c>
      <c r="N12" s="28">
        <f t="shared" si="0"/>
        <v>0</v>
      </c>
      <c r="O12" s="28">
        <f t="shared" si="0"/>
        <v>0</v>
      </c>
      <c r="P12" s="28">
        <f t="shared" si="0"/>
        <v>0</v>
      </c>
      <c r="Q12" s="28">
        <f t="shared" si="0"/>
        <v>0</v>
      </c>
      <c r="R12" s="28">
        <f t="shared" si="0"/>
        <v>0</v>
      </c>
      <c r="S12" s="28">
        <f t="shared" si="0"/>
        <v>0</v>
      </c>
      <c r="T12" s="8">
        <f t="shared" si="3"/>
        <v>41363308</v>
      </c>
      <c r="U12" s="13">
        <f t="shared" si="4"/>
        <v>317160.31760709005</v>
      </c>
      <c r="V12" s="13">
        <f t="shared" ref="V12:AC12" si="13">D12/$T$12*100</f>
        <v>100</v>
      </c>
      <c r="W12" s="4">
        <f t="shared" si="13"/>
        <v>0</v>
      </c>
      <c r="X12" s="4">
        <f t="shared" si="13"/>
        <v>0</v>
      </c>
      <c r="Y12" s="4">
        <f t="shared" si="13"/>
        <v>0</v>
      </c>
      <c r="Z12" s="4">
        <f t="shared" si="13"/>
        <v>0</v>
      </c>
      <c r="AA12" s="4">
        <f t="shared" si="13"/>
        <v>0</v>
      </c>
      <c r="AB12" s="4">
        <f t="shared" si="13"/>
        <v>0</v>
      </c>
      <c r="AC12" s="14">
        <f t="shared" si="13"/>
        <v>0</v>
      </c>
    </row>
    <row r="13" spans="1:29" x14ac:dyDescent="0.2">
      <c r="A13" s="1" t="s">
        <v>126</v>
      </c>
      <c r="B13" s="8" t="s">
        <v>10</v>
      </c>
      <c r="C13" s="13">
        <v>125.39322005484902</v>
      </c>
      <c r="D13" s="29">
        <v>95202529</v>
      </c>
      <c r="E13" s="30"/>
      <c r="F13" s="30"/>
      <c r="G13" s="30"/>
      <c r="H13" s="30"/>
      <c r="I13" s="30"/>
      <c r="J13" s="30"/>
      <c r="K13" s="28"/>
      <c r="L13" s="28">
        <f t="shared" si="2"/>
        <v>759231.87041816837</v>
      </c>
      <c r="M13" s="28">
        <f t="shared" si="0"/>
        <v>0</v>
      </c>
      <c r="N13" s="28">
        <f t="shared" si="0"/>
        <v>0</v>
      </c>
      <c r="O13" s="28">
        <f t="shared" si="0"/>
        <v>0</v>
      </c>
      <c r="P13" s="28">
        <f t="shared" si="0"/>
        <v>0</v>
      </c>
      <c r="Q13" s="28">
        <f t="shared" si="0"/>
        <v>0</v>
      </c>
      <c r="R13" s="28">
        <f t="shared" si="0"/>
        <v>0</v>
      </c>
      <c r="S13" s="28">
        <f t="shared" si="0"/>
        <v>0</v>
      </c>
      <c r="T13" s="8">
        <f t="shared" si="3"/>
        <v>95202529</v>
      </c>
      <c r="U13" s="13">
        <f t="shared" si="4"/>
        <v>759231.87041816837</v>
      </c>
      <c r="V13" s="13">
        <f t="shared" ref="V13:AC13" si="14">D13/$T$13*100</f>
        <v>100</v>
      </c>
      <c r="W13" s="4">
        <f t="shared" si="14"/>
        <v>0</v>
      </c>
      <c r="X13" s="4">
        <f t="shared" si="14"/>
        <v>0</v>
      </c>
      <c r="Y13" s="4">
        <f t="shared" si="14"/>
        <v>0</v>
      </c>
      <c r="Z13" s="4">
        <f t="shared" si="14"/>
        <v>0</v>
      </c>
      <c r="AA13" s="4">
        <f t="shared" si="14"/>
        <v>0</v>
      </c>
      <c r="AB13" s="4">
        <f t="shared" si="14"/>
        <v>0</v>
      </c>
      <c r="AC13" s="14">
        <f t="shared" si="14"/>
        <v>0</v>
      </c>
    </row>
    <row r="14" spans="1:29" x14ac:dyDescent="0.2">
      <c r="A14" s="1" t="s">
        <v>128</v>
      </c>
      <c r="B14" s="8" t="s">
        <v>11</v>
      </c>
      <c r="C14" s="13">
        <v>122.16499836554055</v>
      </c>
      <c r="D14" s="29">
        <v>60162449</v>
      </c>
      <c r="E14" s="30"/>
      <c r="F14" s="30"/>
      <c r="G14" s="30"/>
      <c r="H14" s="30"/>
      <c r="I14" s="30"/>
      <c r="J14" s="30"/>
      <c r="K14" s="28"/>
      <c r="L14" s="28">
        <f t="shared" si="2"/>
        <v>492468.79061040614</v>
      </c>
      <c r="M14" s="28">
        <f t="shared" si="0"/>
        <v>0</v>
      </c>
      <c r="N14" s="28">
        <f t="shared" si="0"/>
        <v>0</v>
      </c>
      <c r="O14" s="28">
        <f t="shared" si="0"/>
        <v>0</v>
      </c>
      <c r="P14" s="28">
        <f t="shared" si="0"/>
        <v>0</v>
      </c>
      <c r="Q14" s="28">
        <f t="shared" si="0"/>
        <v>0</v>
      </c>
      <c r="R14" s="28">
        <f t="shared" si="0"/>
        <v>0</v>
      </c>
      <c r="S14" s="28">
        <f t="shared" si="0"/>
        <v>0</v>
      </c>
      <c r="T14" s="8">
        <f t="shared" si="3"/>
        <v>60162449</v>
      </c>
      <c r="U14" s="13">
        <f t="shared" si="4"/>
        <v>492468.79061040614</v>
      </c>
      <c r="V14" s="13">
        <f t="shared" ref="V14:AC14" si="15">D14/$T$14*100</f>
        <v>100</v>
      </c>
      <c r="W14" s="4">
        <f t="shared" si="15"/>
        <v>0</v>
      </c>
      <c r="X14" s="4">
        <f t="shared" si="15"/>
        <v>0</v>
      </c>
      <c r="Y14" s="4">
        <f t="shared" si="15"/>
        <v>0</v>
      </c>
      <c r="Z14" s="4">
        <f t="shared" si="15"/>
        <v>0</v>
      </c>
      <c r="AA14" s="4">
        <f t="shared" si="15"/>
        <v>0</v>
      </c>
      <c r="AB14" s="4">
        <f t="shared" si="15"/>
        <v>0</v>
      </c>
      <c r="AC14" s="14">
        <f t="shared" si="15"/>
        <v>0</v>
      </c>
    </row>
    <row r="15" spans="1:29" x14ac:dyDescent="0.2">
      <c r="A15" s="1" t="s">
        <v>130</v>
      </c>
      <c r="B15" s="8" t="s">
        <v>12</v>
      </c>
      <c r="C15" s="13">
        <v>146.87068065753425</v>
      </c>
      <c r="D15" s="29">
        <v>1176045</v>
      </c>
      <c r="E15" s="30"/>
      <c r="F15" s="30"/>
      <c r="G15" s="30"/>
      <c r="H15" s="30"/>
      <c r="I15" s="30"/>
      <c r="J15" s="30">
        <v>60322386</v>
      </c>
      <c r="K15" s="28"/>
      <c r="L15" s="28">
        <f t="shared" si="2"/>
        <v>8007.3503760920348</v>
      </c>
      <c r="M15" s="28">
        <f t="shared" si="0"/>
        <v>0</v>
      </c>
      <c r="N15" s="28">
        <f t="shared" si="0"/>
        <v>0</v>
      </c>
      <c r="O15" s="28">
        <f t="shared" si="0"/>
        <v>0</v>
      </c>
      <c r="P15" s="28">
        <f t="shared" si="0"/>
        <v>0</v>
      </c>
      <c r="Q15" s="28">
        <f t="shared" si="0"/>
        <v>0</v>
      </c>
      <c r="R15" s="28">
        <f t="shared" si="0"/>
        <v>410717.68531295052</v>
      </c>
      <c r="S15" s="28">
        <f t="shared" si="0"/>
        <v>0</v>
      </c>
      <c r="T15" s="8">
        <f t="shared" si="3"/>
        <v>61498431</v>
      </c>
      <c r="U15" s="13">
        <f t="shared" si="4"/>
        <v>418725.03568904253</v>
      </c>
      <c r="V15" s="13">
        <f t="shared" ref="V15:AC15" si="16">D15/$T$15*100</f>
        <v>1.9123170800894091</v>
      </c>
      <c r="W15" s="4">
        <f t="shared" si="16"/>
        <v>0</v>
      </c>
      <c r="X15" s="4">
        <f t="shared" si="16"/>
        <v>0</v>
      </c>
      <c r="Y15" s="4">
        <f t="shared" si="16"/>
        <v>0</v>
      </c>
      <c r="Z15" s="4">
        <f t="shared" si="16"/>
        <v>0</v>
      </c>
      <c r="AA15" s="4">
        <f t="shared" si="16"/>
        <v>0</v>
      </c>
      <c r="AB15" s="4">
        <f t="shared" si="16"/>
        <v>98.087682919910591</v>
      </c>
      <c r="AC15" s="14">
        <f t="shared" si="16"/>
        <v>0</v>
      </c>
    </row>
    <row r="16" spans="1:29" x14ac:dyDescent="0.2">
      <c r="A16" s="1" t="s">
        <v>132</v>
      </c>
      <c r="B16" s="8" t="s">
        <v>13</v>
      </c>
      <c r="C16" s="13">
        <v>130.89217923422584</v>
      </c>
      <c r="D16" s="29">
        <v>2257657</v>
      </c>
      <c r="E16" s="30"/>
      <c r="F16" s="30"/>
      <c r="G16" s="30"/>
      <c r="H16" s="30"/>
      <c r="I16" s="30"/>
      <c r="J16" s="30">
        <v>119398782</v>
      </c>
      <c r="K16" s="28"/>
      <c r="L16" s="28">
        <f t="shared" si="2"/>
        <v>17248.219207658094</v>
      </c>
      <c r="M16" s="28">
        <f t="shared" si="0"/>
        <v>0</v>
      </c>
      <c r="N16" s="28">
        <f t="shared" si="0"/>
        <v>0</v>
      </c>
      <c r="O16" s="28">
        <f t="shared" si="0"/>
        <v>0</v>
      </c>
      <c r="P16" s="28">
        <f t="shared" si="0"/>
        <v>0</v>
      </c>
      <c r="Q16" s="28">
        <f t="shared" si="0"/>
        <v>0</v>
      </c>
      <c r="R16" s="28">
        <f t="shared" si="0"/>
        <v>912191.87195547484</v>
      </c>
      <c r="S16" s="28">
        <f t="shared" si="0"/>
        <v>0</v>
      </c>
      <c r="T16" s="8">
        <f t="shared" si="3"/>
        <v>121656439</v>
      </c>
      <c r="U16" s="13">
        <f t="shared" si="4"/>
        <v>929440.09116313292</v>
      </c>
      <c r="V16" s="13">
        <f t="shared" ref="V16:AC16" si="17">D16/$T$16*100</f>
        <v>1.8557644943067912</v>
      </c>
      <c r="W16" s="4">
        <f t="shared" si="17"/>
        <v>0</v>
      </c>
      <c r="X16" s="4">
        <f t="shared" si="17"/>
        <v>0</v>
      </c>
      <c r="Y16" s="4">
        <f t="shared" si="17"/>
        <v>0</v>
      </c>
      <c r="Z16" s="4">
        <f t="shared" si="17"/>
        <v>0</v>
      </c>
      <c r="AA16" s="4">
        <f t="shared" si="17"/>
        <v>0</v>
      </c>
      <c r="AB16" s="4">
        <f t="shared" si="17"/>
        <v>98.144235505693217</v>
      </c>
      <c r="AC16" s="14">
        <f t="shared" si="17"/>
        <v>0</v>
      </c>
    </row>
    <row r="17" spans="1:29" ht="16" thickBot="1" x14ac:dyDescent="0.25">
      <c r="A17" s="1" t="s">
        <v>134</v>
      </c>
      <c r="B17" s="8" t="s">
        <v>14</v>
      </c>
      <c r="C17" s="13">
        <v>68.818694063301194</v>
      </c>
      <c r="D17" s="29">
        <v>2392738</v>
      </c>
      <c r="E17" s="30"/>
      <c r="F17" s="30"/>
      <c r="G17" s="30"/>
      <c r="H17" s="30"/>
      <c r="I17" s="30"/>
      <c r="J17" s="30">
        <v>124827984</v>
      </c>
      <c r="K17" s="28"/>
      <c r="L17" s="28">
        <f t="shared" si="2"/>
        <v>34768.721385487181</v>
      </c>
      <c r="M17" s="28">
        <f t="shared" si="0"/>
        <v>0</v>
      </c>
      <c r="N17" s="28">
        <f t="shared" si="0"/>
        <v>0</v>
      </c>
      <c r="O17" s="28">
        <f t="shared" si="0"/>
        <v>0</v>
      </c>
      <c r="P17" s="28">
        <f t="shared" si="0"/>
        <v>0</v>
      </c>
      <c r="Q17" s="28">
        <f t="shared" si="0"/>
        <v>0</v>
      </c>
      <c r="R17" s="28">
        <f t="shared" si="0"/>
        <v>1813867.3757043404</v>
      </c>
      <c r="S17" s="28">
        <f t="shared" si="0"/>
        <v>0</v>
      </c>
      <c r="T17" s="8">
        <f t="shared" si="3"/>
        <v>127220722</v>
      </c>
      <c r="U17" s="13">
        <f t="shared" si="4"/>
        <v>1848636.0970898275</v>
      </c>
      <c r="V17" s="13">
        <f t="shared" ref="V17:AC17" si="18">D17/$T$17*100</f>
        <v>1.8807769382097987</v>
      </c>
      <c r="W17" s="4">
        <f t="shared" si="18"/>
        <v>0</v>
      </c>
      <c r="X17" s="4">
        <f t="shared" si="18"/>
        <v>0</v>
      </c>
      <c r="Y17" s="4">
        <f t="shared" si="18"/>
        <v>0</v>
      </c>
      <c r="Z17" s="4">
        <f t="shared" si="18"/>
        <v>0</v>
      </c>
      <c r="AA17" s="4">
        <f t="shared" si="18"/>
        <v>0</v>
      </c>
      <c r="AB17" s="4">
        <f t="shared" si="18"/>
        <v>98.119223061790208</v>
      </c>
      <c r="AC17" s="14">
        <f t="shared" si="18"/>
        <v>0</v>
      </c>
    </row>
    <row r="18" spans="1:29" x14ac:dyDescent="0.2">
      <c r="A18" s="109" t="s">
        <v>136</v>
      </c>
      <c r="B18" s="8" t="s">
        <v>15</v>
      </c>
      <c r="C18" s="13">
        <v>130.65055284958299</v>
      </c>
      <c r="D18" s="29">
        <v>908903</v>
      </c>
      <c r="E18" s="30"/>
      <c r="F18" s="30"/>
      <c r="G18" s="30"/>
      <c r="H18" s="30"/>
      <c r="I18" s="30"/>
      <c r="J18" s="30">
        <v>70941400</v>
      </c>
      <c r="K18" s="28"/>
      <c r="L18" s="28">
        <f t="shared" si="2"/>
        <v>6956.7482125116858</v>
      </c>
      <c r="M18" s="28">
        <f t="shared" si="0"/>
        <v>0</v>
      </c>
      <c r="N18" s="28">
        <f t="shared" si="0"/>
        <v>0</v>
      </c>
      <c r="O18" s="28">
        <f t="shared" si="0"/>
        <v>0</v>
      </c>
      <c r="P18" s="28">
        <f t="shared" si="0"/>
        <v>0</v>
      </c>
      <c r="Q18" s="28">
        <f t="shared" si="0"/>
        <v>0</v>
      </c>
      <c r="R18" s="28">
        <f t="shared" si="0"/>
        <v>542985.83858021873</v>
      </c>
      <c r="S18" s="28">
        <f t="shared" si="0"/>
        <v>0</v>
      </c>
      <c r="T18" s="8">
        <f t="shared" si="3"/>
        <v>71850303</v>
      </c>
      <c r="U18" s="13">
        <f t="shared" si="4"/>
        <v>549942.58679273038</v>
      </c>
      <c r="V18" s="13">
        <f t="shared" ref="V18:AC18" si="19">D18/$T$18*100</f>
        <v>1.2649953612582538</v>
      </c>
      <c r="W18" s="4">
        <f t="shared" si="19"/>
        <v>0</v>
      </c>
      <c r="X18" s="4">
        <f t="shared" si="19"/>
        <v>0</v>
      </c>
      <c r="Y18" s="4">
        <f t="shared" si="19"/>
        <v>0</v>
      </c>
      <c r="Z18" s="4">
        <f t="shared" si="19"/>
        <v>0</v>
      </c>
      <c r="AA18" s="4">
        <f t="shared" si="19"/>
        <v>0</v>
      </c>
      <c r="AB18" s="4">
        <f t="shared" si="19"/>
        <v>98.735004638741742</v>
      </c>
      <c r="AC18" s="14">
        <f t="shared" si="19"/>
        <v>0</v>
      </c>
    </row>
    <row r="19" spans="1:29" x14ac:dyDescent="0.2">
      <c r="A19" s="110" t="s">
        <v>138</v>
      </c>
      <c r="B19" s="8" t="s">
        <v>16</v>
      </c>
      <c r="C19" s="13">
        <v>110.44600086309183</v>
      </c>
      <c r="D19" s="29">
        <v>1085975</v>
      </c>
      <c r="E19" s="30"/>
      <c r="F19" s="30"/>
      <c r="G19" s="30"/>
      <c r="H19" s="30"/>
      <c r="I19" s="30"/>
      <c r="J19" s="30">
        <v>77141569</v>
      </c>
      <c r="K19" s="28"/>
      <c r="L19" s="28">
        <f t="shared" si="2"/>
        <v>9832.6330651497992</v>
      </c>
      <c r="M19" s="28">
        <f t="shared" si="2"/>
        <v>0</v>
      </c>
      <c r="N19" s="28">
        <f t="shared" si="2"/>
        <v>0</v>
      </c>
      <c r="O19" s="28">
        <f t="shared" si="2"/>
        <v>0</v>
      </c>
      <c r="P19" s="28">
        <f t="shared" si="2"/>
        <v>0</v>
      </c>
      <c r="Q19" s="28">
        <f t="shared" si="2"/>
        <v>0</v>
      </c>
      <c r="R19" s="28">
        <f t="shared" si="2"/>
        <v>698455.0676092311</v>
      </c>
      <c r="S19" s="28">
        <f t="shared" si="2"/>
        <v>0</v>
      </c>
      <c r="T19" s="8">
        <f t="shared" si="3"/>
        <v>78227544</v>
      </c>
      <c r="U19" s="13">
        <f t="shared" si="4"/>
        <v>708287.70067438087</v>
      </c>
      <c r="V19" s="13">
        <f t="shared" ref="V19:AC19" si="20">D19/$T$19*100</f>
        <v>1.3882258658152429</v>
      </c>
      <c r="W19" s="4">
        <f t="shared" si="20"/>
        <v>0</v>
      </c>
      <c r="X19" s="4">
        <f t="shared" si="20"/>
        <v>0</v>
      </c>
      <c r="Y19" s="4">
        <f t="shared" si="20"/>
        <v>0</v>
      </c>
      <c r="Z19" s="4">
        <f t="shared" si="20"/>
        <v>0</v>
      </c>
      <c r="AA19" s="4">
        <f t="shared" si="20"/>
        <v>0</v>
      </c>
      <c r="AB19" s="4">
        <f t="shared" si="20"/>
        <v>98.611774134184756</v>
      </c>
      <c r="AC19" s="14">
        <f t="shared" si="20"/>
        <v>0</v>
      </c>
    </row>
    <row r="20" spans="1:29" ht="16" thickBot="1" x14ac:dyDescent="0.25">
      <c r="A20" s="111" t="s">
        <v>140</v>
      </c>
      <c r="B20" s="8" t="s">
        <v>17</v>
      </c>
      <c r="C20" s="13">
        <v>117.52188726819432</v>
      </c>
      <c r="D20" s="29">
        <v>1447389</v>
      </c>
      <c r="E20" s="30"/>
      <c r="F20" s="30"/>
      <c r="G20" s="30"/>
      <c r="H20" s="30"/>
      <c r="I20" s="30"/>
      <c r="J20" s="30">
        <v>103199535</v>
      </c>
      <c r="K20" s="28"/>
      <c r="L20" s="28">
        <f t="shared" si="2"/>
        <v>12315.910113806654</v>
      </c>
      <c r="M20" s="28">
        <f t="shared" si="2"/>
        <v>0</v>
      </c>
      <c r="N20" s="28">
        <f t="shared" si="2"/>
        <v>0</v>
      </c>
      <c r="O20" s="28">
        <f t="shared" si="2"/>
        <v>0</v>
      </c>
      <c r="P20" s="28">
        <f t="shared" si="2"/>
        <v>0</v>
      </c>
      <c r="Q20" s="28">
        <f t="shared" si="2"/>
        <v>0</v>
      </c>
      <c r="R20" s="28">
        <f t="shared" si="2"/>
        <v>878130.34149537119</v>
      </c>
      <c r="S20" s="28">
        <f t="shared" si="2"/>
        <v>0</v>
      </c>
      <c r="T20" s="8">
        <f t="shared" si="3"/>
        <v>104646924</v>
      </c>
      <c r="U20" s="13">
        <f t="shared" si="4"/>
        <v>890446.25160917779</v>
      </c>
      <c r="V20" s="13">
        <f t="shared" ref="V20:AC20" si="21">D20/$T$20*100</f>
        <v>1.3831166217556474</v>
      </c>
      <c r="W20" s="4">
        <f t="shared" si="21"/>
        <v>0</v>
      </c>
      <c r="X20" s="4">
        <f t="shared" si="21"/>
        <v>0</v>
      </c>
      <c r="Y20" s="4">
        <f t="shared" si="21"/>
        <v>0</v>
      </c>
      <c r="Z20" s="4">
        <f t="shared" si="21"/>
        <v>0</v>
      </c>
      <c r="AA20" s="4">
        <f t="shared" si="21"/>
        <v>0</v>
      </c>
      <c r="AB20" s="4">
        <f t="shared" si="21"/>
        <v>98.616883378244353</v>
      </c>
      <c r="AC20" s="14">
        <f t="shared" si="21"/>
        <v>0</v>
      </c>
    </row>
    <row r="21" spans="1:29" x14ac:dyDescent="0.2">
      <c r="A21" s="51" t="s">
        <v>70</v>
      </c>
      <c r="B21" s="8" t="s">
        <v>18</v>
      </c>
      <c r="C21" s="13">
        <v>97.198118384657477</v>
      </c>
      <c r="D21" s="29">
        <v>23483867</v>
      </c>
      <c r="E21" s="30"/>
      <c r="F21" s="30"/>
      <c r="G21" s="30"/>
      <c r="H21" s="30"/>
      <c r="I21" s="30"/>
      <c r="J21" s="30"/>
      <c r="K21" s="28"/>
      <c r="L21" s="28">
        <f t="shared" si="2"/>
        <v>241608.2470553965</v>
      </c>
      <c r="M21" s="28">
        <f t="shared" si="2"/>
        <v>0</v>
      </c>
      <c r="N21" s="28">
        <f t="shared" si="2"/>
        <v>0</v>
      </c>
      <c r="O21" s="28">
        <f t="shared" si="2"/>
        <v>0</v>
      </c>
      <c r="P21" s="28">
        <f t="shared" si="2"/>
        <v>0</v>
      </c>
      <c r="Q21" s="28">
        <f t="shared" si="2"/>
        <v>0</v>
      </c>
      <c r="R21" s="28">
        <f t="shared" si="2"/>
        <v>0</v>
      </c>
      <c r="S21" s="28">
        <f t="shared" si="2"/>
        <v>0</v>
      </c>
      <c r="T21" s="8">
        <f t="shared" si="3"/>
        <v>23483867</v>
      </c>
      <c r="U21" s="13">
        <f t="shared" si="4"/>
        <v>241608.2470553965</v>
      </c>
      <c r="V21" s="13">
        <f t="shared" ref="V21:AC21" si="22">D21/$T$21*100</f>
        <v>100</v>
      </c>
      <c r="W21" s="4">
        <f t="shared" si="22"/>
        <v>0</v>
      </c>
      <c r="X21" s="4">
        <f t="shared" si="22"/>
        <v>0</v>
      </c>
      <c r="Y21" s="4">
        <f t="shared" si="22"/>
        <v>0</v>
      </c>
      <c r="Z21" s="4">
        <f t="shared" si="22"/>
        <v>0</v>
      </c>
      <c r="AA21" s="4">
        <f t="shared" si="22"/>
        <v>0</v>
      </c>
      <c r="AB21" s="4">
        <f t="shared" si="22"/>
        <v>0</v>
      </c>
      <c r="AC21" s="14">
        <f t="shared" si="22"/>
        <v>0</v>
      </c>
    </row>
    <row r="22" spans="1:29" x14ac:dyDescent="0.2">
      <c r="A22" s="1" t="s">
        <v>72</v>
      </c>
      <c r="B22" s="8" t="s">
        <v>19</v>
      </c>
      <c r="C22" s="13">
        <v>127.31000379392765</v>
      </c>
      <c r="D22" s="29">
        <v>40537276</v>
      </c>
      <c r="E22" s="30"/>
      <c r="F22" s="30"/>
      <c r="G22" s="30"/>
      <c r="H22" s="30"/>
      <c r="I22" s="30"/>
      <c r="J22" s="30"/>
      <c r="K22" s="28"/>
      <c r="L22" s="28">
        <f t="shared" si="2"/>
        <v>318413.90929196973</v>
      </c>
      <c r="M22" s="28">
        <f t="shared" si="2"/>
        <v>0</v>
      </c>
      <c r="N22" s="28">
        <f t="shared" si="2"/>
        <v>0</v>
      </c>
      <c r="O22" s="28">
        <f t="shared" si="2"/>
        <v>0</v>
      </c>
      <c r="P22" s="28">
        <f t="shared" si="2"/>
        <v>0</v>
      </c>
      <c r="Q22" s="28">
        <f t="shared" si="2"/>
        <v>0</v>
      </c>
      <c r="R22" s="28">
        <f t="shared" si="2"/>
        <v>0</v>
      </c>
      <c r="S22" s="28">
        <f t="shared" si="2"/>
        <v>0</v>
      </c>
      <c r="T22" s="8">
        <f t="shared" si="3"/>
        <v>40537276</v>
      </c>
      <c r="U22" s="13">
        <f t="shared" si="4"/>
        <v>318413.90929196973</v>
      </c>
      <c r="V22" s="13">
        <f t="shared" ref="V22:AC22" si="23">D22/$T$22*100</f>
        <v>100</v>
      </c>
      <c r="W22" s="4">
        <f t="shared" si="23"/>
        <v>0</v>
      </c>
      <c r="X22" s="4">
        <f t="shared" si="23"/>
        <v>0</v>
      </c>
      <c r="Y22" s="4">
        <f t="shared" si="23"/>
        <v>0</v>
      </c>
      <c r="Z22" s="4">
        <f t="shared" si="23"/>
        <v>0</v>
      </c>
      <c r="AA22" s="4">
        <f t="shared" si="23"/>
        <v>0</v>
      </c>
      <c r="AB22" s="4">
        <f t="shared" si="23"/>
        <v>0</v>
      </c>
      <c r="AC22" s="14">
        <f t="shared" si="23"/>
        <v>0</v>
      </c>
    </row>
    <row r="23" spans="1:29" ht="16" x14ac:dyDescent="0.2">
      <c r="A23" s="52" t="s">
        <v>74</v>
      </c>
      <c r="B23" s="8" t="s">
        <v>20</v>
      </c>
      <c r="C23" s="13">
        <v>143.4385517594913</v>
      </c>
      <c r="D23" s="29">
        <v>46790518</v>
      </c>
      <c r="E23" s="30"/>
      <c r="F23" s="30"/>
      <c r="G23" s="30"/>
      <c r="H23" s="30"/>
      <c r="I23" s="30"/>
      <c r="J23" s="30"/>
      <c r="K23" s="28"/>
      <c r="L23" s="28">
        <f t="shared" si="2"/>
        <v>326206.01244256413</v>
      </c>
      <c r="M23" s="28">
        <f t="shared" si="2"/>
        <v>0</v>
      </c>
      <c r="N23" s="28">
        <f t="shared" si="2"/>
        <v>0</v>
      </c>
      <c r="O23" s="28">
        <f t="shared" si="2"/>
        <v>0</v>
      </c>
      <c r="P23" s="28">
        <f t="shared" si="2"/>
        <v>0</v>
      </c>
      <c r="Q23" s="28">
        <f t="shared" si="2"/>
        <v>0</v>
      </c>
      <c r="R23" s="28">
        <f t="shared" si="2"/>
        <v>0</v>
      </c>
      <c r="S23" s="28">
        <f t="shared" si="2"/>
        <v>0</v>
      </c>
      <c r="T23" s="8">
        <f t="shared" si="3"/>
        <v>46790518</v>
      </c>
      <c r="U23" s="13">
        <f t="shared" si="4"/>
        <v>326206.01244256413</v>
      </c>
      <c r="V23" s="13">
        <f t="shared" ref="V23:AC23" si="24">D23/$T$23*100</f>
        <v>100</v>
      </c>
      <c r="W23" s="4">
        <f t="shared" si="24"/>
        <v>0</v>
      </c>
      <c r="X23" s="4">
        <f t="shared" si="24"/>
        <v>0</v>
      </c>
      <c r="Y23" s="4">
        <f t="shared" si="24"/>
        <v>0</v>
      </c>
      <c r="Z23" s="4">
        <f t="shared" si="24"/>
        <v>0</v>
      </c>
      <c r="AA23" s="4">
        <f t="shared" si="24"/>
        <v>0</v>
      </c>
      <c r="AB23" s="4">
        <f t="shared" si="24"/>
        <v>0</v>
      </c>
      <c r="AC23" s="14">
        <f t="shared" si="24"/>
        <v>0</v>
      </c>
    </row>
    <row r="24" spans="1:29" ht="16" x14ac:dyDescent="0.2">
      <c r="A24" s="52" t="s">
        <v>76</v>
      </c>
      <c r="B24" s="8" t="s">
        <v>21</v>
      </c>
      <c r="C24" s="13">
        <v>110.74207412094421</v>
      </c>
      <c r="D24" s="29">
        <v>1055618</v>
      </c>
      <c r="E24" s="30"/>
      <c r="F24" s="30"/>
      <c r="G24" s="30"/>
      <c r="H24" s="30"/>
      <c r="I24" s="30"/>
      <c r="J24" s="30">
        <v>40592840</v>
      </c>
      <c r="K24" s="28"/>
      <c r="L24" s="28">
        <f t="shared" si="2"/>
        <v>9532.2216815908014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366553.00455784798</v>
      </c>
      <c r="S24" s="28">
        <f t="shared" si="2"/>
        <v>0</v>
      </c>
      <c r="T24" s="8">
        <f t="shared" si="3"/>
        <v>41648458</v>
      </c>
      <c r="U24" s="13">
        <f t="shared" si="4"/>
        <v>376085.22623943875</v>
      </c>
      <c r="V24" s="13">
        <f t="shared" ref="V24:AC24" si="25">D24/$T$24*100</f>
        <v>2.5345908364722654</v>
      </c>
      <c r="W24" s="4">
        <f t="shared" si="25"/>
        <v>0</v>
      </c>
      <c r="X24" s="4">
        <f t="shared" si="25"/>
        <v>0</v>
      </c>
      <c r="Y24" s="4">
        <f t="shared" si="25"/>
        <v>0</v>
      </c>
      <c r="Z24" s="4">
        <f t="shared" si="25"/>
        <v>0</v>
      </c>
      <c r="AA24" s="4">
        <f t="shared" si="25"/>
        <v>0</v>
      </c>
      <c r="AB24" s="4">
        <f t="shared" si="25"/>
        <v>97.465409163527738</v>
      </c>
      <c r="AC24" s="14">
        <f t="shared" si="25"/>
        <v>0</v>
      </c>
    </row>
    <row r="25" spans="1:29" ht="16" x14ac:dyDescent="0.2">
      <c r="A25" s="52" t="s">
        <v>78</v>
      </c>
      <c r="B25" s="8" t="s">
        <v>22</v>
      </c>
      <c r="C25" s="13">
        <v>137.29877325454129</v>
      </c>
      <c r="D25" s="29">
        <v>2153548</v>
      </c>
      <c r="E25" s="30"/>
      <c r="F25" s="30"/>
      <c r="G25" s="30"/>
      <c r="H25" s="30"/>
      <c r="I25" s="30"/>
      <c r="J25" s="30">
        <v>66708359</v>
      </c>
      <c r="K25" s="28"/>
      <c r="L25" s="28">
        <f t="shared" si="2"/>
        <v>15685.121934829591</v>
      </c>
      <c r="M25" s="28">
        <f t="shared" si="2"/>
        <v>0</v>
      </c>
      <c r="N25" s="28">
        <f t="shared" si="2"/>
        <v>0</v>
      </c>
      <c r="O25" s="28">
        <f t="shared" si="2"/>
        <v>0</v>
      </c>
      <c r="P25" s="28">
        <f t="shared" si="2"/>
        <v>0</v>
      </c>
      <c r="Q25" s="28">
        <f t="shared" si="2"/>
        <v>0</v>
      </c>
      <c r="R25" s="28">
        <f t="shared" si="2"/>
        <v>485862.74602998723</v>
      </c>
      <c r="S25" s="28">
        <f t="shared" si="2"/>
        <v>0</v>
      </c>
      <c r="T25" s="8">
        <f t="shared" si="3"/>
        <v>68861907</v>
      </c>
      <c r="U25" s="13">
        <f t="shared" si="4"/>
        <v>501547.8679648168</v>
      </c>
      <c r="V25" s="13">
        <f t="shared" ref="V25:AC25" si="26">D25/$T$25*100</f>
        <v>3.1273429590034443</v>
      </c>
      <c r="W25" s="4">
        <f t="shared" si="26"/>
        <v>0</v>
      </c>
      <c r="X25" s="4">
        <f t="shared" si="26"/>
        <v>0</v>
      </c>
      <c r="Y25" s="4">
        <f t="shared" si="26"/>
        <v>0</v>
      </c>
      <c r="Z25" s="4">
        <f t="shared" si="26"/>
        <v>0</v>
      </c>
      <c r="AA25" s="4">
        <f t="shared" si="26"/>
        <v>0</v>
      </c>
      <c r="AB25" s="4">
        <f t="shared" si="26"/>
        <v>96.872657040996557</v>
      </c>
      <c r="AC25" s="14">
        <f t="shared" si="26"/>
        <v>0</v>
      </c>
    </row>
    <row r="26" spans="1:29" ht="17" thickBot="1" x14ac:dyDescent="0.25">
      <c r="A26" s="52" t="s">
        <v>80</v>
      </c>
      <c r="B26" s="8" t="s">
        <v>23</v>
      </c>
      <c r="C26" s="13">
        <v>136.74822250998346</v>
      </c>
      <c r="D26" s="29">
        <v>1675005</v>
      </c>
      <c r="E26" s="30"/>
      <c r="F26" s="30"/>
      <c r="G26" s="30"/>
      <c r="H26" s="30"/>
      <c r="I26" s="30"/>
      <c r="J26" s="30">
        <v>48022882</v>
      </c>
      <c r="K26" s="28"/>
      <c r="L26" s="28">
        <f t="shared" si="2"/>
        <v>12248.824659331234</v>
      </c>
      <c r="M26" s="28">
        <f t="shared" si="2"/>
        <v>0</v>
      </c>
      <c r="N26" s="28">
        <f t="shared" si="2"/>
        <v>0</v>
      </c>
      <c r="O26" s="28">
        <f t="shared" si="2"/>
        <v>0</v>
      </c>
      <c r="P26" s="28">
        <f t="shared" si="2"/>
        <v>0</v>
      </c>
      <c r="Q26" s="28">
        <f t="shared" si="2"/>
        <v>0</v>
      </c>
      <c r="R26" s="28">
        <f t="shared" si="2"/>
        <v>351177.37633843126</v>
      </c>
      <c r="S26" s="28">
        <f t="shared" si="2"/>
        <v>0</v>
      </c>
      <c r="T26" s="8">
        <f t="shared" si="3"/>
        <v>49697887</v>
      </c>
      <c r="U26" s="13">
        <f t="shared" si="4"/>
        <v>363426.2009977625</v>
      </c>
      <c r="V26" s="13">
        <f t="shared" ref="V26:AC26" si="27">D26/$T$26*100</f>
        <v>3.3703746801146699</v>
      </c>
      <c r="W26" s="4">
        <f t="shared" si="27"/>
        <v>0</v>
      </c>
      <c r="X26" s="4">
        <f t="shared" si="27"/>
        <v>0</v>
      </c>
      <c r="Y26" s="4">
        <f t="shared" si="27"/>
        <v>0</v>
      </c>
      <c r="Z26" s="4">
        <f t="shared" si="27"/>
        <v>0</v>
      </c>
      <c r="AA26" s="4">
        <f t="shared" si="27"/>
        <v>0</v>
      </c>
      <c r="AB26" s="4">
        <f t="shared" si="27"/>
        <v>96.629625319885321</v>
      </c>
      <c r="AC26" s="14">
        <f t="shared" si="27"/>
        <v>0</v>
      </c>
    </row>
    <row r="27" spans="1:29" x14ac:dyDescent="0.2">
      <c r="A27" s="109" t="s">
        <v>82</v>
      </c>
      <c r="B27" s="8" t="s">
        <v>24</v>
      </c>
      <c r="C27" s="13">
        <v>117.01602075231662</v>
      </c>
      <c r="D27" s="29">
        <v>626344</v>
      </c>
      <c r="E27" s="30"/>
      <c r="F27" s="30"/>
      <c r="G27" s="30"/>
      <c r="H27" s="30"/>
      <c r="I27" s="30"/>
      <c r="J27" s="30">
        <v>21654654</v>
      </c>
      <c r="K27" s="28"/>
      <c r="L27" s="28">
        <f t="shared" si="2"/>
        <v>5352.6345877523781</v>
      </c>
      <c r="M27" s="28">
        <f t="shared" si="2"/>
        <v>0</v>
      </c>
      <c r="N27" s="28">
        <f t="shared" si="2"/>
        <v>0</v>
      </c>
      <c r="O27" s="28">
        <f t="shared" si="2"/>
        <v>0</v>
      </c>
      <c r="P27" s="28">
        <f t="shared" si="2"/>
        <v>0</v>
      </c>
      <c r="Q27" s="28">
        <f t="shared" si="2"/>
        <v>0</v>
      </c>
      <c r="R27" s="28">
        <f t="shared" si="2"/>
        <v>185057.17303304636</v>
      </c>
      <c r="S27" s="28">
        <f t="shared" si="2"/>
        <v>0</v>
      </c>
      <c r="T27" s="8">
        <f t="shared" si="3"/>
        <v>22280998</v>
      </c>
      <c r="U27" s="13">
        <f t="shared" si="4"/>
        <v>190409.80762079873</v>
      </c>
      <c r="V27" s="13">
        <f t="shared" ref="V27:AC27" si="28">D27/$T$27*100</f>
        <v>2.8111128594868147</v>
      </c>
      <c r="W27" s="4">
        <f t="shared" si="28"/>
        <v>0</v>
      </c>
      <c r="X27" s="4">
        <f t="shared" si="28"/>
        <v>0</v>
      </c>
      <c r="Y27" s="4">
        <f t="shared" si="28"/>
        <v>0</v>
      </c>
      <c r="Z27" s="4">
        <f t="shared" si="28"/>
        <v>0</v>
      </c>
      <c r="AA27" s="4">
        <f t="shared" si="28"/>
        <v>0</v>
      </c>
      <c r="AB27" s="4">
        <f t="shared" si="28"/>
        <v>97.188887140513174</v>
      </c>
      <c r="AC27" s="14">
        <f t="shared" si="28"/>
        <v>0</v>
      </c>
    </row>
    <row r="28" spans="1:29" x14ac:dyDescent="0.2">
      <c r="A28" s="110" t="s">
        <v>84</v>
      </c>
      <c r="B28" s="8" t="s">
        <v>25</v>
      </c>
      <c r="C28" s="13">
        <v>124.6589491999994</v>
      </c>
      <c r="D28" s="29">
        <v>1559246</v>
      </c>
      <c r="E28" s="30"/>
      <c r="F28" s="30"/>
      <c r="G28" s="30"/>
      <c r="H28" s="30"/>
      <c r="I28" s="30"/>
      <c r="J28" s="30">
        <v>48399525</v>
      </c>
      <c r="K28" s="28"/>
      <c r="L28" s="28">
        <f t="shared" si="2"/>
        <v>12508.095166905254</v>
      </c>
      <c r="M28" s="28">
        <f t="shared" si="2"/>
        <v>0</v>
      </c>
      <c r="N28" s="28">
        <f t="shared" si="2"/>
        <v>0</v>
      </c>
      <c r="O28" s="28">
        <f t="shared" si="2"/>
        <v>0</v>
      </c>
      <c r="P28" s="28">
        <f t="shared" si="2"/>
        <v>0</v>
      </c>
      <c r="Q28" s="28">
        <f t="shared" si="2"/>
        <v>0</v>
      </c>
      <c r="R28" s="28">
        <f t="shared" si="2"/>
        <v>388255.51884244691</v>
      </c>
      <c r="S28" s="28">
        <f t="shared" si="2"/>
        <v>0</v>
      </c>
      <c r="T28" s="8">
        <f t="shared" si="3"/>
        <v>49958771</v>
      </c>
      <c r="U28" s="13">
        <f t="shared" si="4"/>
        <v>400763.61400935217</v>
      </c>
      <c r="V28" s="13">
        <f t="shared" ref="V28:AC28" si="29">D28/$T$28*100</f>
        <v>3.1210655682462645</v>
      </c>
      <c r="W28" s="4">
        <f t="shared" si="29"/>
        <v>0</v>
      </c>
      <c r="X28" s="4">
        <f t="shared" si="29"/>
        <v>0</v>
      </c>
      <c r="Y28" s="4">
        <f t="shared" si="29"/>
        <v>0</v>
      </c>
      <c r="Z28" s="4">
        <f t="shared" si="29"/>
        <v>0</v>
      </c>
      <c r="AA28" s="4">
        <f t="shared" si="29"/>
        <v>0</v>
      </c>
      <c r="AB28" s="4">
        <f t="shared" si="29"/>
        <v>96.878934431753734</v>
      </c>
      <c r="AC28" s="14">
        <f t="shared" si="29"/>
        <v>0</v>
      </c>
    </row>
    <row r="29" spans="1:29" ht="17" thickBot="1" x14ac:dyDescent="0.25">
      <c r="A29" s="98" t="s">
        <v>86</v>
      </c>
      <c r="B29" s="8" t="s">
        <v>26</v>
      </c>
      <c r="C29" s="13">
        <v>131.82322224628973</v>
      </c>
      <c r="D29" s="29">
        <v>988685</v>
      </c>
      <c r="E29" s="30"/>
      <c r="F29" s="30"/>
      <c r="G29" s="30"/>
      <c r="H29" s="30"/>
      <c r="I29" s="30"/>
      <c r="J29" s="30">
        <v>42401522</v>
      </c>
      <c r="K29" s="28"/>
      <c r="L29" s="28">
        <f t="shared" si="2"/>
        <v>7500.0821793963341</v>
      </c>
      <c r="M29" s="28">
        <f t="shared" si="2"/>
        <v>0</v>
      </c>
      <c r="N29" s="28">
        <f t="shared" si="2"/>
        <v>0</v>
      </c>
      <c r="O29" s="28">
        <f t="shared" si="2"/>
        <v>0</v>
      </c>
      <c r="P29" s="28">
        <f t="shared" si="2"/>
        <v>0</v>
      </c>
      <c r="Q29" s="28">
        <f t="shared" si="2"/>
        <v>0</v>
      </c>
      <c r="R29" s="28">
        <f t="shared" si="2"/>
        <v>321654.41928569932</v>
      </c>
      <c r="S29" s="28">
        <f t="shared" si="2"/>
        <v>0</v>
      </c>
      <c r="T29" s="8">
        <f t="shared" si="3"/>
        <v>43390207</v>
      </c>
      <c r="U29" s="13">
        <f t="shared" si="4"/>
        <v>329154.50146509567</v>
      </c>
      <c r="V29" s="13">
        <f t="shared" ref="V29:AC29" si="30">D29/$T$29*100</f>
        <v>2.2785901897172325</v>
      </c>
      <c r="W29" s="4">
        <f t="shared" si="30"/>
        <v>0</v>
      </c>
      <c r="X29" s="4">
        <f t="shared" si="30"/>
        <v>0</v>
      </c>
      <c r="Y29" s="4">
        <f t="shared" si="30"/>
        <v>0</v>
      </c>
      <c r="Z29" s="4">
        <f t="shared" si="30"/>
        <v>0</v>
      </c>
      <c r="AA29" s="4">
        <f t="shared" si="30"/>
        <v>0</v>
      </c>
      <c r="AB29" s="4">
        <f t="shared" si="30"/>
        <v>97.721409810282765</v>
      </c>
      <c r="AC29" s="14">
        <f t="shared" si="30"/>
        <v>0</v>
      </c>
    </row>
    <row r="30" spans="1:29" x14ac:dyDescent="0.2">
      <c r="A30" s="1" t="s">
        <v>88</v>
      </c>
      <c r="B30" s="8" t="s">
        <v>27</v>
      </c>
      <c r="C30" s="13">
        <v>120.13545845490287</v>
      </c>
      <c r="D30" s="29">
        <v>25923120</v>
      </c>
      <c r="E30" s="30"/>
      <c r="F30" s="30"/>
      <c r="G30" s="30"/>
      <c r="H30" s="30"/>
      <c r="I30" s="30"/>
      <c r="J30" s="30"/>
      <c r="K30" s="28"/>
      <c r="L30" s="28">
        <f t="shared" si="2"/>
        <v>215782.42038949032</v>
      </c>
      <c r="M30" s="28">
        <f t="shared" si="2"/>
        <v>0</v>
      </c>
      <c r="N30" s="28">
        <f t="shared" si="2"/>
        <v>0</v>
      </c>
      <c r="O30" s="28">
        <f t="shared" si="2"/>
        <v>0</v>
      </c>
      <c r="P30" s="28">
        <f t="shared" si="2"/>
        <v>0</v>
      </c>
      <c r="Q30" s="28">
        <f t="shared" si="2"/>
        <v>0</v>
      </c>
      <c r="R30" s="28">
        <f t="shared" si="2"/>
        <v>0</v>
      </c>
      <c r="S30" s="28">
        <f t="shared" si="2"/>
        <v>0</v>
      </c>
      <c r="T30" s="8">
        <f t="shared" si="3"/>
        <v>25923120</v>
      </c>
      <c r="U30" s="13">
        <f t="shared" si="4"/>
        <v>215782.42038949032</v>
      </c>
      <c r="V30" s="13">
        <f t="shared" ref="V30:AC30" si="31">D30/$T$30*100</f>
        <v>100</v>
      </c>
      <c r="W30" s="4">
        <f t="shared" si="31"/>
        <v>0</v>
      </c>
      <c r="X30" s="4">
        <f t="shared" si="31"/>
        <v>0</v>
      </c>
      <c r="Y30" s="4">
        <f t="shared" si="31"/>
        <v>0</v>
      </c>
      <c r="Z30" s="4">
        <f t="shared" si="31"/>
        <v>0</v>
      </c>
      <c r="AA30" s="4">
        <f t="shared" si="31"/>
        <v>0</v>
      </c>
      <c r="AB30" s="4">
        <f t="shared" si="31"/>
        <v>0</v>
      </c>
      <c r="AC30" s="14">
        <f t="shared" si="31"/>
        <v>0</v>
      </c>
    </row>
    <row r="31" spans="1:29" x14ac:dyDescent="0.2">
      <c r="A31" s="1" t="s">
        <v>90</v>
      </c>
      <c r="B31" s="8" t="s">
        <v>28</v>
      </c>
      <c r="C31" s="13">
        <v>133.6306416614492</v>
      </c>
      <c r="D31" s="29">
        <v>42940370</v>
      </c>
      <c r="E31" s="30"/>
      <c r="F31" s="30"/>
      <c r="G31" s="30"/>
      <c r="H31" s="30"/>
      <c r="I31" s="30"/>
      <c r="J31" s="30"/>
      <c r="K31" s="28"/>
      <c r="L31" s="28">
        <f t="shared" si="2"/>
        <v>321336.25541354989</v>
      </c>
      <c r="M31" s="28">
        <f t="shared" si="2"/>
        <v>0</v>
      </c>
      <c r="N31" s="28">
        <f t="shared" si="2"/>
        <v>0</v>
      </c>
      <c r="O31" s="28">
        <f t="shared" si="2"/>
        <v>0</v>
      </c>
      <c r="P31" s="28">
        <f t="shared" si="2"/>
        <v>0</v>
      </c>
      <c r="Q31" s="28">
        <f t="shared" si="2"/>
        <v>0</v>
      </c>
      <c r="R31" s="28">
        <f t="shared" si="2"/>
        <v>0</v>
      </c>
      <c r="S31" s="28">
        <f t="shared" si="2"/>
        <v>0</v>
      </c>
      <c r="T31" s="8">
        <f t="shared" si="3"/>
        <v>42940370</v>
      </c>
      <c r="U31" s="13">
        <f t="shared" si="4"/>
        <v>321336.25541354989</v>
      </c>
      <c r="V31" s="13">
        <f t="shared" ref="V31:AC31" si="32">D31/$T$31*100</f>
        <v>100</v>
      </c>
      <c r="W31" s="4">
        <f t="shared" si="32"/>
        <v>0</v>
      </c>
      <c r="X31" s="4">
        <f t="shared" si="32"/>
        <v>0</v>
      </c>
      <c r="Y31" s="4">
        <f t="shared" si="32"/>
        <v>0</v>
      </c>
      <c r="Z31" s="4">
        <f t="shared" si="32"/>
        <v>0</v>
      </c>
      <c r="AA31" s="4">
        <f t="shared" si="32"/>
        <v>0</v>
      </c>
      <c r="AB31" s="4">
        <f t="shared" si="32"/>
        <v>0</v>
      </c>
      <c r="AC31" s="14">
        <f t="shared" si="32"/>
        <v>0</v>
      </c>
    </row>
    <row r="32" spans="1:29" x14ac:dyDescent="0.2">
      <c r="A32" s="1" t="s">
        <v>92</v>
      </c>
      <c r="B32" s="8" t="s">
        <v>29</v>
      </c>
      <c r="C32" s="13">
        <v>89.665815943679206</v>
      </c>
      <c r="D32" s="29">
        <v>54235850</v>
      </c>
      <c r="E32" s="30"/>
      <c r="F32" s="30"/>
      <c r="G32" s="30"/>
      <c r="H32" s="30"/>
      <c r="I32" s="30"/>
      <c r="J32" s="30"/>
      <c r="K32" s="28"/>
      <c r="L32" s="28">
        <f t="shared" si="2"/>
        <v>604866.51941099344</v>
      </c>
      <c r="M32" s="28">
        <f t="shared" si="2"/>
        <v>0</v>
      </c>
      <c r="N32" s="28">
        <f t="shared" si="2"/>
        <v>0</v>
      </c>
      <c r="O32" s="28">
        <f t="shared" si="2"/>
        <v>0</v>
      </c>
      <c r="P32" s="28">
        <f t="shared" si="2"/>
        <v>0</v>
      </c>
      <c r="Q32" s="28">
        <f t="shared" si="2"/>
        <v>0</v>
      </c>
      <c r="R32" s="28">
        <f t="shared" si="2"/>
        <v>0</v>
      </c>
      <c r="S32" s="28">
        <f t="shared" si="2"/>
        <v>0</v>
      </c>
      <c r="T32" s="8">
        <f t="shared" si="3"/>
        <v>54235850</v>
      </c>
      <c r="U32" s="13">
        <f t="shared" si="4"/>
        <v>604866.51941099344</v>
      </c>
      <c r="V32" s="13">
        <f t="shared" ref="V32:AC32" si="33">D32/$T$32*100</f>
        <v>100</v>
      </c>
      <c r="W32" s="4">
        <f t="shared" si="33"/>
        <v>0</v>
      </c>
      <c r="X32" s="4">
        <f t="shared" si="33"/>
        <v>0</v>
      </c>
      <c r="Y32" s="4">
        <f t="shared" si="33"/>
        <v>0</v>
      </c>
      <c r="Z32" s="4">
        <f t="shared" si="33"/>
        <v>0</v>
      </c>
      <c r="AA32" s="4">
        <f t="shared" si="33"/>
        <v>0</v>
      </c>
      <c r="AB32" s="4">
        <f t="shared" si="33"/>
        <v>0</v>
      </c>
      <c r="AC32" s="14">
        <f t="shared" si="33"/>
        <v>0</v>
      </c>
    </row>
    <row r="33" spans="1:29" x14ac:dyDescent="0.2">
      <c r="A33" s="1" t="s">
        <v>94</v>
      </c>
      <c r="B33" s="8" t="s">
        <v>30</v>
      </c>
      <c r="C33" s="13">
        <v>117.18257637794109</v>
      </c>
      <c r="D33" s="29">
        <v>1654743</v>
      </c>
      <c r="E33" s="30"/>
      <c r="F33" s="30"/>
      <c r="G33" s="30"/>
      <c r="H33" s="30"/>
      <c r="I33" s="30"/>
      <c r="J33" s="30">
        <v>37231371</v>
      </c>
      <c r="K33" s="28"/>
      <c r="L33" s="28">
        <f t="shared" si="2"/>
        <v>14121.066895329803</v>
      </c>
      <c r="M33" s="28">
        <f t="shared" si="2"/>
        <v>0</v>
      </c>
      <c r="N33" s="28">
        <f t="shared" si="2"/>
        <v>0</v>
      </c>
      <c r="O33" s="28">
        <f t="shared" si="2"/>
        <v>0</v>
      </c>
      <c r="P33" s="28">
        <f t="shared" si="2"/>
        <v>0</v>
      </c>
      <c r="Q33" s="28">
        <f t="shared" si="2"/>
        <v>0</v>
      </c>
      <c r="R33" s="28">
        <f t="shared" si="2"/>
        <v>317721.04822068562</v>
      </c>
      <c r="S33" s="28">
        <f t="shared" si="2"/>
        <v>0</v>
      </c>
      <c r="T33" s="8">
        <f t="shared" si="3"/>
        <v>38886114</v>
      </c>
      <c r="U33" s="13">
        <f t="shared" si="4"/>
        <v>331842.11511601543</v>
      </c>
      <c r="V33" s="13">
        <f t="shared" ref="V33:AC33" si="34">D33/$T$33*100</f>
        <v>4.2553570665353702</v>
      </c>
      <c r="W33" s="4">
        <f t="shared" si="34"/>
        <v>0</v>
      </c>
      <c r="X33" s="4">
        <f t="shared" si="34"/>
        <v>0</v>
      </c>
      <c r="Y33" s="4">
        <f t="shared" si="34"/>
        <v>0</v>
      </c>
      <c r="Z33" s="4">
        <f t="shared" si="34"/>
        <v>0</v>
      </c>
      <c r="AA33" s="4">
        <f t="shared" si="34"/>
        <v>0</v>
      </c>
      <c r="AB33" s="4">
        <f t="shared" si="34"/>
        <v>95.744642933464633</v>
      </c>
      <c r="AC33" s="14">
        <f t="shared" si="34"/>
        <v>0</v>
      </c>
    </row>
    <row r="34" spans="1:29" x14ac:dyDescent="0.2">
      <c r="A34" s="1" t="s">
        <v>96</v>
      </c>
      <c r="B34" s="8" t="s">
        <v>31</v>
      </c>
      <c r="C34" s="13">
        <v>93.866959001563146</v>
      </c>
      <c r="D34" s="29">
        <v>2259854</v>
      </c>
      <c r="E34" s="30"/>
      <c r="F34" s="30"/>
      <c r="G34" s="30"/>
      <c r="H34" s="30"/>
      <c r="I34" s="30"/>
      <c r="J34" s="30">
        <v>64122894</v>
      </c>
      <c r="K34" s="28"/>
      <c r="L34" s="28">
        <f t="shared" si="2"/>
        <v>24075.074169201191</v>
      </c>
      <c r="M34" s="28">
        <f t="shared" si="2"/>
        <v>0</v>
      </c>
      <c r="N34" s="28">
        <f t="shared" si="2"/>
        <v>0</v>
      </c>
      <c r="O34" s="28">
        <f t="shared" si="2"/>
        <v>0</v>
      </c>
      <c r="P34" s="28">
        <f t="shared" si="2"/>
        <v>0</v>
      </c>
      <c r="Q34" s="28">
        <f t="shared" si="2"/>
        <v>0</v>
      </c>
      <c r="R34" s="28">
        <f t="shared" si="2"/>
        <v>683125.29437469237</v>
      </c>
      <c r="S34" s="28">
        <f t="shared" si="2"/>
        <v>0</v>
      </c>
      <c r="T34" s="8">
        <f t="shared" si="3"/>
        <v>66382748</v>
      </c>
      <c r="U34" s="13">
        <f t="shared" si="4"/>
        <v>707200.36854389356</v>
      </c>
      <c r="V34" s="13">
        <f t="shared" ref="V34:AC34" si="35">D34/$T$34*100</f>
        <v>3.404279075641762</v>
      </c>
      <c r="W34" s="4">
        <f t="shared" si="35"/>
        <v>0</v>
      </c>
      <c r="X34" s="4">
        <f t="shared" si="35"/>
        <v>0</v>
      </c>
      <c r="Y34" s="4">
        <f t="shared" si="35"/>
        <v>0</v>
      </c>
      <c r="Z34" s="4">
        <f t="shared" si="35"/>
        <v>0</v>
      </c>
      <c r="AA34" s="4">
        <f t="shared" si="35"/>
        <v>0</v>
      </c>
      <c r="AB34" s="4">
        <f t="shared" si="35"/>
        <v>96.595720924358247</v>
      </c>
      <c r="AC34" s="14">
        <f t="shared" si="35"/>
        <v>0</v>
      </c>
    </row>
    <row r="35" spans="1:29" ht="16" thickBot="1" x14ac:dyDescent="0.25">
      <c r="A35" s="1" t="s">
        <v>98</v>
      </c>
      <c r="B35" s="8" t="s">
        <v>32</v>
      </c>
      <c r="C35" s="13">
        <v>124.3878226689603</v>
      </c>
      <c r="D35" s="29">
        <v>1295042</v>
      </c>
      <c r="E35" s="30"/>
      <c r="F35" s="30"/>
      <c r="G35" s="30"/>
      <c r="H35" s="30"/>
      <c r="I35" s="30"/>
      <c r="J35" s="30">
        <v>42544452</v>
      </c>
      <c r="K35" s="28"/>
      <c r="L35" s="28">
        <f t="shared" si="2"/>
        <v>10411.32461532478</v>
      </c>
      <c r="M35" s="28">
        <f t="shared" si="2"/>
        <v>0</v>
      </c>
      <c r="N35" s="28">
        <f t="shared" si="2"/>
        <v>0</v>
      </c>
      <c r="O35" s="28">
        <f t="shared" si="2"/>
        <v>0</v>
      </c>
      <c r="P35" s="28">
        <f t="shared" si="2"/>
        <v>0</v>
      </c>
      <c r="Q35" s="28">
        <f t="shared" si="2"/>
        <v>0</v>
      </c>
      <c r="R35" s="28">
        <f t="shared" si="2"/>
        <v>342030.68344741216</v>
      </c>
      <c r="S35" s="28">
        <f t="shared" si="2"/>
        <v>0</v>
      </c>
      <c r="T35" s="8">
        <f t="shared" si="3"/>
        <v>43839494</v>
      </c>
      <c r="U35" s="13">
        <f t="shared" si="4"/>
        <v>352442.00806273695</v>
      </c>
      <c r="V35" s="13">
        <f t="shared" ref="V35:AC35" si="36">D35/$T$35*100</f>
        <v>2.9540532561803747</v>
      </c>
      <c r="W35" s="4">
        <f t="shared" si="36"/>
        <v>0</v>
      </c>
      <c r="X35" s="4">
        <f t="shared" si="36"/>
        <v>0</v>
      </c>
      <c r="Y35" s="4">
        <f t="shared" si="36"/>
        <v>0</v>
      </c>
      <c r="Z35" s="4">
        <f t="shared" si="36"/>
        <v>0</v>
      </c>
      <c r="AA35" s="4">
        <f t="shared" si="36"/>
        <v>0</v>
      </c>
      <c r="AB35" s="4">
        <f t="shared" si="36"/>
        <v>97.045946743819627</v>
      </c>
      <c r="AC35" s="14">
        <f t="shared" si="36"/>
        <v>0</v>
      </c>
    </row>
    <row r="36" spans="1:29" x14ac:dyDescent="0.2">
      <c r="A36" s="109" t="s">
        <v>100</v>
      </c>
      <c r="B36" s="8" t="s">
        <v>33</v>
      </c>
      <c r="C36" s="13">
        <v>116.31998434140461</v>
      </c>
      <c r="D36" s="29">
        <v>876722</v>
      </c>
      <c r="E36" s="30"/>
      <c r="F36" s="30"/>
      <c r="G36" s="30"/>
      <c r="H36" s="30"/>
      <c r="I36" s="30"/>
      <c r="J36" s="30">
        <v>22454812</v>
      </c>
      <c r="K36" s="28"/>
      <c r="L36" s="28">
        <f t="shared" si="2"/>
        <v>7537.1571356713721</v>
      </c>
      <c r="M36" s="28">
        <f t="shared" si="2"/>
        <v>0</v>
      </c>
      <c r="N36" s="28">
        <f t="shared" si="2"/>
        <v>0</v>
      </c>
      <c r="O36" s="28">
        <f t="shared" si="2"/>
        <v>0</v>
      </c>
      <c r="P36" s="28">
        <f t="shared" si="2"/>
        <v>0</v>
      </c>
      <c r="Q36" s="28">
        <f t="shared" si="2"/>
        <v>0</v>
      </c>
      <c r="R36" s="28">
        <f t="shared" si="2"/>
        <v>193043.45789880847</v>
      </c>
      <c r="S36" s="28">
        <f t="shared" si="2"/>
        <v>0</v>
      </c>
      <c r="T36" s="8">
        <f t="shared" si="3"/>
        <v>23331534</v>
      </c>
      <c r="U36" s="13">
        <f t="shared" si="4"/>
        <v>200580.61503447985</v>
      </c>
      <c r="V36" s="13">
        <f t="shared" ref="V36:AC36" si="37">D36/$T$36*100</f>
        <v>3.7576697700202653</v>
      </c>
      <c r="W36" s="4">
        <f t="shared" si="37"/>
        <v>0</v>
      </c>
      <c r="X36" s="4">
        <f t="shared" si="37"/>
        <v>0</v>
      </c>
      <c r="Y36" s="4">
        <f t="shared" si="37"/>
        <v>0</v>
      </c>
      <c r="Z36" s="4">
        <f t="shared" si="37"/>
        <v>0</v>
      </c>
      <c r="AA36" s="4">
        <f t="shared" si="37"/>
        <v>0</v>
      </c>
      <c r="AB36" s="4">
        <f t="shared" si="37"/>
        <v>96.242330229979729</v>
      </c>
      <c r="AC36" s="14">
        <f t="shared" si="37"/>
        <v>0</v>
      </c>
    </row>
    <row r="37" spans="1:29" x14ac:dyDescent="0.2">
      <c r="A37" s="110" t="s">
        <v>102</v>
      </c>
      <c r="B37" s="8" t="s">
        <v>34</v>
      </c>
      <c r="C37" s="13">
        <v>75.56969360035805</v>
      </c>
      <c r="D37" s="29">
        <v>1196919</v>
      </c>
      <c r="E37" s="30"/>
      <c r="F37" s="30"/>
      <c r="G37" s="30"/>
      <c r="H37" s="30"/>
      <c r="I37" s="30"/>
      <c r="J37" s="30">
        <v>55200605</v>
      </c>
      <c r="K37" s="28"/>
      <c r="L37" s="28">
        <f t="shared" si="2"/>
        <v>15838.611260352245</v>
      </c>
      <c r="M37" s="28">
        <f t="shared" si="2"/>
        <v>0</v>
      </c>
      <c r="N37" s="28">
        <f t="shared" si="2"/>
        <v>0</v>
      </c>
      <c r="O37" s="28">
        <f t="shared" si="2"/>
        <v>0</v>
      </c>
      <c r="P37" s="28">
        <f t="shared" si="2"/>
        <v>0</v>
      </c>
      <c r="Q37" s="28">
        <f t="shared" si="2"/>
        <v>0</v>
      </c>
      <c r="R37" s="28">
        <f t="shared" si="2"/>
        <v>730459.55819170421</v>
      </c>
      <c r="S37" s="28">
        <f t="shared" si="2"/>
        <v>0</v>
      </c>
      <c r="T37" s="8">
        <f t="shared" si="3"/>
        <v>56397524</v>
      </c>
      <c r="U37" s="13">
        <f t="shared" si="4"/>
        <v>746298.16945205641</v>
      </c>
      <c r="V37" s="13">
        <f t="shared" ref="V37:AC37" si="38">D37/$T$37*100</f>
        <v>2.1222899785458669</v>
      </c>
      <c r="W37" s="4">
        <f t="shared" si="38"/>
        <v>0</v>
      </c>
      <c r="X37" s="4">
        <f t="shared" si="38"/>
        <v>0</v>
      </c>
      <c r="Y37" s="4">
        <f t="shared" si="38"/>
        <v>0</v>
      </c>
      <c r="Z37" s="4">
        <f t="shared" si="38"/>
        <v>0</v>
      </c>
      <c r="AA37" s="4">
        <f t="shared" si="38"/>
        <v>0</v>
      </c>
      <c r="AB37" s="4">
        <f t="shared" si="38"/>
        <v>97.877710021454135</v>
      </c>
      <c r="AC37" s="14">
        <f t="shared" si="38"/>
        <v>0</v>
      </c>
    </row>
    <row r="38" spans="1:29" ht="16" thickBot="1" x14ac:dyDescent="0.25">
      <c r="A38" s="111" t="s">
        <v>104</v>
      </c>
      <c r="B38" s="9" t="s">
        <v>35</v>
      </c>
      <c r="C38" s="15">
        <v>99.747880680763927</v>
      </c>
      <c r="D38" s="31">
        <v>1094287</v>
      </c>
      <c r="E38" s="32"/>
      <c r="F38" s="32"/>
      <c r="G38" s="32"/>
      <c r="H38" s="32"/>
      <c r="I38" s="32"/>
      <c r="J38" s="32">
        <v>40163469</v>
      </c>
      <c r="K38" s="33"/>
      <c r="L38" s="28">
        <f t="shared" si="2"/>
        <v>10970.528822584096</v>
      </c>
      <c r="M38" s="28">
        <f t="shared" si="2"/>
        <v>0</v>
      </c>
      <c r="N38" s="28">
        <f t="shared" si="2"/>
        <v>0</v>
      </c>
      <c r="O38" s="28">
        <f t="shared" si="2"/>
        <v>0</v>
      </c>
      <c r="P38" s="28">
        <f t="shared" si="2"/>
        <v>0</v>
      </c>
      <c r="Q38" s="28">
        <f t="shared" si="2"/>
        <v>0</v>
      </c>
      <c r="R38" s="28">
        <f t="shared" si="2"/>
        <v>402649.84805582342</v>
      </c>
      <c r="S38" s="28">
        <f t="shared" si="2"/>
        <v>0</v>
      </c>
      <c r="T38" s="9">
        <f t="shared" si="3"/>
        <v>41257756</v>
      </c>
      <c r="U38" s="13">
        <f t="shared" si="4"/>
        <v>413620.37687840749</v>
      </c>
      <c r="V38" s="15">
        <f t="shared" ref="V38:AC38" si="39">D38/$T$38*100</f>
        <v>2.6523182695636671</v>
      </c>
      <c r="W38" s="16">
        <f t="shared" si="39"/>
        <v>0</v>
      </c>
      <c r="X38" s="16">
        <f t="shared" si="39"/>
        <v>0</v>
      </c>
      <c r="Y38" s="16">
        <f t="shared" si="39"/>
        <v>0</v>
      </c>
      <c r="Z38" s="16">
        <f t="shared" si="39"/>
        <v>0</v>
      </c>
      <c r="AA38" s="16">
        <f t="shared" si="39"/>
        <v>0</v>
      </c>
      <c r="AB38" s="16">
        <f t="shared" si="39"/>
        <v>97.347681730436335</v>
      </c>
      <c r="AC38" s="17">
        <f t="shared" si="39"/>
        <v>0</v>
      </c>
    </row>
  </sheetData>
  <mergeCells count="7">
    <mergeCell ref="A1:B2"/>
    <mergeCell ref="D1:K1"/>
    <mergeCell ref="V1:AC1"/>
    <mergeCell ref="T1:T2"/>
    <mergeCell ref="C1:C2"/>
    <mergeCell ref="L1:S1"/>
    <mergeCell ref="U1:U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8"/>
  <sheetViews>
    <sheetView showGridLines="0" workbookViewId="0">
      <pane xSplit="2" topLeftCell="C1" activePane="topRight" state="frozen"/>
      <selection pane="topRight" activeCell="Y27" sqref="Y27:Y29"/>
    </sheetView>
  </sheetViews>
  <sheetFormatPr baseColWidth="10" defaultColWidth="8.6640625" defaultRowHeight="15" x14ac:dyDescent="0.2"/>
  <cols>
    <col min="1" max="1" width="21.33203125" style="50" bestFit="1" customWidth="1"/>
    <col min="2" max="2" width="9.33203125" style="4" bestFit="1" customWidth="1"/>
    <col min="3" max="3" width="6.83203125" style="4" bestFit="1" customWidth="1"/>
    <col min="4" max="5" width="8.33203125" style="4" bestFit="1" customWidth="1"/>
    <col min="6" max="6" width="4.5" style="4" bestFit="1" customWidth="1"/>
    <col min="7" max="7" width="8.33203125" style="4" bestFit="1" customWidth="1"/>
    <col min="8" max="11" width="4.5" style="4" bestFit="1" customWidth="1"/>
    <col min="12" max="15" width="8.33203125" style="4" bestFit="1" customWidth="1"/>
    <col min="16" max="19" width="4.5" style="4" bestFit="1" customWidth="1"/>
    <col min="20" max="20" width="14.1640625" style="4" bestFit="1" customWidth="1"/>
    <col min="21" max="21" width="21.6640625" style="4" bestFit="1" customWidth="1"/>
    <col min="22" max="22" width="6.33203125" style="4" bestFit="1" customWidth="1"/>
    <col min="23" max="24" width="4.5" style="4" bestFit="1" customWidth="1"/>
    <col min="25" max="25" width="5.33203125" style="4" bestFit="1" customWidth="1"/>
    <col min="26" max="29" width="4.5" style="4" bestFit="1" customWidth="1"/>
    <col min="30" max="16384" width="8.6640625" style="4"/>
  </cols>
  <sheetData>
    <row r="1" spans="1:29" x14ac:dyDescent="0.2">
      <c r="A1" s="121" t="s">
        <v>50</v>
      </c>
      <c r="B1" s="122"/>
      <c r="C1" s="125" t="s">
        <v>48</v>
      </c>
      <c r="D1" s="127" t="s">
        <v>46</v>
      </c>
      <c r="E1" s="127"/>
      <c r="F1" s="127"/>
      <c r="G1" s="127"/>
      <c r="H1" s="127"/>
      <c r="I1" s="127"/>
      <c r="J1" s="127"/>
      <c r="K1" s="127"/>
      <c r="L1" s="128" t="s">
        <v>49</v>
      </c>
      <c r="M1" s="129"/>
      <c r="N1" s="129"/>
      <c r="O1" s="129"/>
      <c r="P1" s="129"/>
      <c r="Q1" s="129"/>
      <c r="R1" s="129"/>
      <c r="S1" s="130"/>
      <c r="T1" s="119" t="s">
        <v>45</v>
      </c>
      <c r="U1" s="119" t="s">
        <v>141</v>
      </c>
      <c r="V1" s="117" t="s">
        <v>47</v>
      </c>
      <c r="W1" s="117"/>
      <c r="X1" s="117"/>
      <c r="Y1" s="117"/>
      <c r="Z1" s="117"/>
      <c r="AA1" s="117"/>
      <c r="AB1" s="117"/>
      <c r="AC1" s="118"/>
    </row>
    <row r="2" spans="1:29" x14ac:dyDescent="0.2">
      <c r="A2" s="123"/>
      <c r="B2" s="124"/>
      <c r="C2" s="126"/>
      <c r="D2" s="5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7" t="s">
        <v>43</v>
      </c>
      <c r="L2" s="5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7" t="s">
        <v>43</v>
      </c>
      <c r="T2" s="120"/>
      <c r="U2" s="120"/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  <c r="AB2" s="6" t="s">
        <v>42</v>
      </c>
      <c r="AC2" s="7" t="s">
        <v>43</v>
      </c>
    </row>
    <row r="3" spans="1:29" x14ac:dyDescent="0.2">
      <c r="A3" s="1" t="s">
        <v>106</v>
      </c>
      <c r="B3" s="8" t="s">
        <v>0</v>
      </c>
      <c r="C3" s="13">
        <v>151.61856590318203</v>
      </c>
      <c r="D3" s="25">
        <v>684667</v>
      </c>
      <c r="E3" s="26"/>
      <c r="F3" s="26"/>
      <c r="G3" s="26"/>
      <c r="H3" s="26"/>
      <c r="I3" s="26"/>
      <c r="J3" s="26"/>
      <c r="K3" s="27"/>
      <c r="L3" s="28">
        <f t="shared" ref="L3:L38" si="0">D3/$C3</f>
        <v>4515.7200631827827</v>
      </c>
      <c r="M3" s="28">
        <f t="shared" ref="M3:M38" si="1">E3/$C3</f>
        <v>0</v>
      </c>
      <c r="N3" s="28">
        <f t="shared" ref="N3:N38" si="2">F3/$C3</f>
        <v>0</v>
      </c>
      <c r="O3" s="42">
        <f t="shared" ref="O3:O38" si="3">G3/$C3</f>
        <v>0</v>
      </c>
      <c r="P3" s="28"/>
      <c r="Q3" s="28"/>
      <c r="R3" s="28"/>
      <c r="S3" s="28"/>
      <c r="T3" s="8">
        <f>SUM(D3:K3)</f>
        <v>684667</v>
      </c>
      <c r="U3" s="43">
        <f>SUM(L3:S3)</f>
        <v>4515.7200631827827</v>
      </c>
      <c r="V3" s="10">
        <f>D3/$T$3*100</f>
        <v>100</v>
      </c>
      <c r="W3" s="11">
        <f>E3/$T$3*100</f>
        <v>0</v>
      </c>
      <c r="X3" s="11">
        <f>F3/$T$3*100</f>
        <v>0</v>
      </c>
      <c r="Y3" s="47">
        <f>G3/$T$3*100</f>
        <v>0</v>
      </c>
      <c r="Z3" s="11"/>
      <c r="AA3" s="11"/>
      <c r="AB3" s="11"/>
      <c r="AC3" s="12"/>
    </row>
    <row r="4" spans="1:29" x14ac:dyDescent="0.2">
      <c r="A4" s="1" t="s">
        <v>108</v>
      </c>
      <c r="B4" s="8" t="s">
        <v>1</v>
      </c>
      <c r="C4" s="13">
        <v>144.60827361219867</v>
      </c>
      <c r="D4" s="29">
        <v>883817</v>
      </c>
      <c r="E4" s="30"/>
      <c r="F4" s="30"/>
      <c r="G4" s="30"/>
      <c r="H4" s="30"/>
      <c r="I4" s="30"/>
      <c r="J4" s="30"/>
      <c r="K4" s="28"/>
      <c r="L4" s="28">
        <f t="shared" si="0"/>
        <v>6111.8010603609346</v>
      </c>
      <c r="M4" s="28">
        <f t="shared" si="1"/>
        <v>0</v>
      </c>
      <c r="N4" s="28">
        <f t="shared" si="2"/>
        <v>0</v>
      </c>
      <c r="O4" s="42">
        <f t="shared" si="3"/>
        <v>0</v>
      </c>
      <c r="P4" s="28"/>
      <c r="Q4" s="28"/>
      <c r="R4" s="28"/>
      <c r="S4" s="28"/>
      <c r="T4" s="8">
        <f t="shared" ref="T4:T38" si="4">SUM(D4:K4)</f>
        <v>883817</v>
      </c>
      <c r="U4" s="43">
        <f t="shared" ref="U4:U38" si="5">SUM(L4:S4)</f>
        <v>6111.8010603609346</v>
      </c>
      <c r="V4" s="13">
        <f>D4/$T$4*100</f>
        <v>100</v>
      </c>
      <c r="W4" s="4">
        <f>E4/$T$4*100</f>
        <v>0</v>
      </c>
      <c r="X4" s="4">
        <f>F4/$T$4*100</f>
        <v>0</v>
      </c>
      <c r="Y4" s="48">
        <f>G4/$T$4*100</f>
        <v>0</v>
      </c>
      <c r="AC4" s="14"/>
    </row>
    <row r="5" spans="1:29" ht="16" x14ac:dyDescent="0.2">
      <c r="A5" s="52" t="s">
        <v>110</v>
      </c>
      <c r="B5" s="8" t="s">
        <v>2</v>
      </c>
      <c r="C5" s="13">
        <v>126.18510720293932</v>
      </c>
      <c r="D5" s="29">
        <v>1093674</v>
      </c>
      <c r="E5" s="30">
        <v>16661</v>
      </c>
      <c r="F5" s="30"/>
      <c r="G5" s="30"/>
      <c r="H5" s="30"/>
      <c r="I5" s="30"/>
      <c r="J5" s="30"/>
      <c r="K5" s="28"/>
      <c r="L5" s="28">
        <f t="shared" si="0"/>
        <v>8667.2193275635964</v>
      </c>
      <c r="M5" s="28">
        <f t="shared" si="1"/>
        <v>132.03618374080125</v>
      </c>
      <c r="N5" s="28">
        <f t="shared" si="2"/>
        <v>0</v>
      </c>
      <c r="O5" s="42">
        <f t="shared" si="3"/>
        <v>0</v>
      </c>
      <c r="P5" s="28"/>
      <c r="Q5" s="28"/>
      <c r="R5" s="28"/>
      <c r="S5" s="28"/>
      <c r="T5" s="8">
        <f t="shared" si="4"/>
        <v>1110335</v>
      </c>
      <c r="U5" s="43">
        <f t="shared" si="5"/>
        <v>8799.2555113043982</v>
      </c>
      <c r="V5" s="13">
        <f>D5/$T$5*100</f>
        <v>98.499461874119078</v>
      </c>
      <c r="W5" s="4">
        <f>E5/$T$5*100</f>
        <v>1.5005381258809278</v>
      </c>
      <c r="X5" s="4">
        <f>F5/$T$5*100</f>
        <v>0</v>
      </c>
      <c r="Y5" s="48">
        <f>G5/$T$5*100</f>
        <v>0</v>
      </c>
      <c r="AC5" s="14"/>
    </row>
    <row r="6" spans="1:29" ht="16" x14ac:dyDescent="0.2">
      <c r="A6" s="52" t="s">
        <v>112</v>
      </c>
      <c r="B6" s="8" t="s">
        <v>3</v>
      </c>
      <c r="C6" s="13">
        <v>139.22341121667353</v>
      </c>
      <c r="D6" s="29">
        <v>568904</v>
      </c>
      <c r="E6" s="30">
        <v>13345</v>
      </c>
      <c r="F6" s="30"/>
      <c r="G6" s="30">
        <v>202389</v>
      </c>
      <c r="H6" s="30"/>
      <c r="I6" s="30"/>
      <c r="J6" s="30"/>
      <c r="K6" s="28"/>
      <c r="L6" s="28">
        <f t="shared" si="0"/>
        <v>4086.266778182975</v>
      </c>
      <c r="M6" s="28">
        <f t="shared" si="1"/>
        <v>95.853131907759135</v>
      </c>
      <c r="N6" s="28">
        <f t="shared" si="2"/>
        <v>0</v>
      </c>
      <c r="O6" s="42">
        <f t="shared" si="3"/>
        <v>1453.6994764840363</v>
      </c>
      <c r="P6" s="28"/>
      <c r="Q6" s="28"/>
      <c r="R6" s="28"/>
      <c r="S6" s="28"/>
      <c r="T6" s="8">
        <f t="shared" si="4"/>
        <v>784638</v>
      </c>
      <c r="U6" s="43">
        <f t="shared" si="5"/>
        <v>5635.8193865747708</v>
      </c>
      <c r="V6" s="13">
        <f>D6/$T$6*100</f>
        <v>72.505282690871468</v>
      </c>
      <c r="W6" s="4">
        <f>E6/$T$6*100</f>
        <v>1.7007843107267302</v>
      </c>
      <c r="X6" s="4">
        <f>F6/$T$6*100</f>
        <v>0</v>
      </c>
      <c r="Y6" s="48">
        <f>G6/$T$6*100</f>
        <v>25.793932998401807</v>
      </c>
      <c r="AC6" s="14"/>
    </row>
    <row r="7" spans="1:29" ht="16" x14ac:dyDescent="0.2">
      <c r="A7" s="52" t="s">
        <v>114</v>
      </c>
      <c r="B7" s="8" t="s">
        <v>4</v>
      </c>
      <c r="C7" s="13">
        <v>151.90975415986941</v>
      </c>
      <c r="D7" s="29">
        <v>676581</v>
      </c>
      <c r="E7" s="30">
        <v>9980</v>
      </c>
      <c r="F7" s="30"/>
      <c r="G7" s="30">
        <v>214640</v>
      </c>
      <c r="H7" s="30"/>
      <c r="I7" s="30"/>
      <c r="J7" s="30"/>
      <c r="K7" s="28"/>
      <c r="L7" s="28">
        <f t="shared" si="0"/>
        <v>4453.8351321928149</v>
      </c>
      <c r="M7" s="28">
        <f t="shared" si="1"/>
        <v>65.696900473534271</v>
      </c>
      <c r="N7" s="28">
        <f t="shared" si="2"/>
        <v>0</v>
      </c>
      <c r="O7" s="42">
        <f t="shared" si="3"/>
        <v>1412.944160084108</v>
      </c>
      <c r="P7" s="28"/>
      <c r="Q7" s="28"/>
      <c r="R7" s="28"/>
      <c r="S7" s="28"/>
      <c r="T7" s="8">
        <f t="shared" si="4"/>
        <v>901201</v>
      </c>
      <c r="U7" s="43">
        <f t="shared" si="5"/>
        <v>5932.4761927504578</v>
      </c>
      <c r="V7" s="13">
        <f>D7/$T$7*100</f>
        <v>75.075482605989123</v>
      </c>
      <c r="W7" s="4">
        <f>E7/$T$7*100</f>
        <v>1.107411110285053</v>
      </c>
      <c r="X7" s="4">
        <f>F7/$T$7*100</f>
        <v>0</v>
      </c>
      <c r="Y7" s="48">
        <f>G7/$T$7*100</f>
        <v>23.817106283725828</v>
      </c>
      <c r="AC7" s="14"/>
    </row>
    <row r="8" spans="1:29" ht="17" thickBot="1" x14ac:dyDescent="0.25">
      <c r="A8" s="52" t="s">
        <v>116</v>
      </c>
      <c r="B8" s="8" t="s">
        <v>5</v>
      </c>
      <c r="C8" s="13">
        <v>108.99908875208385</v>
      </c>
      <c r="D8" s="29">
        <v>878668</v>
      </c>
      <c r="E8" s="30">
        <v>8261</v>
      </c>
      <c r="F8" s="30"/>
      <c r="G8" s="30">
        <v>335732</v>
      </c>
      <c r="H8" s="30"/>
      <c r="I8" s="30"/>
      <c r="J8" s="30"/>
      <c r="K8" s="28"/>
      <c r="L8" s="28">
        <f t="shared" si="0"/>
        <v>8061.2417044927042</v>
      </c>
      <c r="M8" s="28">
        <f t="shared" si="1"/>
        <v>75.78962443245257</v>
      </c>
      <c r="N8" s="28">
        <f t="shared" si="2"/>
        <v>0</v>
      </c>
      <c r="O8" s="42">
        <f t="shared" si="3"/>
        <v>3080.1358419024532</v>
      </c>
      <c r="P8" s="28"/>
      <c r="Q8" s="28"/>
      <c r="R8" s="28"/>
      <c r="S8" s="28"/>
      <c r="T8" s="8">
        <f t="shared" si="4"/>
        <v>1222661</v>
      </c>
      <c r="U8" s="43">
        <f t="shared" si="5"/>
        <v>11217.16717082761</v>
      </c>
      <c r="V8" s="13">
        <f>D8/$T$8*100</f>
        <v>71.865218568352134</v>
      </c>
      <c r="W8" s="4">
        <f>E8/$T$8*100</f>
        <v>0.67565743897940633</v>
      </c>
      <c r="X8" s="4">
        <f>F8/$T$8*100</f>
        <v>0</v>
      </c>
      <c r="Y8" s="48">
        <f>G8/$T$8*100</f>
        <v>27.459123992668449</v>
      </c>
      <c r="AC8" s="14"/>
    </row>
    <row r="9" spans="1:29" s="95" customFormat="1" x14ac:dyDescent="0.2">
      <c r="A9" s="109" t="s">
        <v>118</v>
      </c>
      <c r="B9" s="88" t="s">
        <v>6</v>
      </c>
      <c r="C9" s="89">
        <v>156.73380954252787</v>
      </c>
      <c r="D9" s="90">
        <v>406355</v>
      </c>
      <c r="E9" s="91">
        <v>5988</v>
      </c>
      <c r="F9" s="91"/>
      <c r="G9" s="91">
        <v>287474</v>
      </c>
      <c r="H9" s="91"/>
      <c r="I9" s="91"/>
      <c r="J9" s="91"/>
      <c r="K9" s="92"/>
      <c r="L9" s="92">
        <f t="shared" si="0"/>
        <v>2592.644185616763</v>
      </c>
      <c r="M9" s="92">
        <f t="shared" si="1"/>
        <v>38.204903061296591</v>
      </c>
      <c r="N9" s="92">
        <f t="shared" si="2"/>
        <v>0</v>
      </c>
      <c r="O9" s="93">
        <f t="shared" si="3"/>
        <v>1834.1543591588472</v>
      </c>
      <c r="P9" s="92"/>
      <c r="Q9" s="92"/>
      <c r="R9" s="92"/>
      <c r="S9" s="92"/>
      <c r="T9" s="88">
        <f t="shared" si="4"/>
        <v>699817</v>
      </c>
      <c r="U9" s="94">
        <f t="shared" si="5"/>
        <v>4465.0034478369071</v>
      </c>
      <c r="V9" s="89">
        <f>D9/$T$9*100</f>
        <v>58.065894369528039</v>
      </c>
      <c r="W9" s="95">
        <f>E9/$T$9*100</f>
        <v>0.85565226337742573</v>
      </c>
      <c r="X9" s="95">
        <f>F9/$T$9*100</f>
        <v>0</v>
      </c>
      <c r="Y9" s="96">
        <f>G9/$T$9*100</f>
        <v>41.078453367094539</v>
      </c>
      <c r="AC9" s="97"/>
    </row>
    <row r="10" spans="1:29" x14ac:dyDescent="0.2">
      <c r="A10" s="110" t="s">
        <v>120</v>
      </c>
      <c r="B10" s="8" t="s">
        <v>7</v>
      </c>
      <c r="C10" s="13">
        <v>145.0979296286427</v>
      </c>
      <c r="D10" s="29">
        <v>538290</v>
      </c>
      <c r="E10" s="30"/>
      <c r="F10" s="30"/>
      <c r="G10" s="30">
        <v>509551</v>
      </c>
      <c r="H10" s="30"/>
      <c r="I10" s="30"/>
      <c r="J10" s="30"/>
      <c r="K10" s="28"/>
      <c r="L10" s="28">
        <f t="shared" si="0"/>
        <v>3709.8392883873389</v>
      </c>
      <c r="M10" s="28">
        <f t="shared" si="1"/>
        <v>0</v>
      </c>
      <c r="N10" s="28">
        <f t="shared" si="2"/>
        <v>0</v>
      </c>
      <c r="O10" s="42">
        <f t="shared" si="3"/>
        <v>3511.7730577143489</v>
      </c>
      <c r="P10" s="28"/>
      <c r="Q10" s="28"/>
      <c r="R10" s="28"/>
      <c r="S10" s="28"/>
      <c r="T10" s="8">
        <f t="shared" si="4"/>
        <v>1047841</v>
      </c>
      <c r="U10" s="43">
        <f t="shared" si="5"/>
        <v>7221.6123461016878</v>
      </c>
      <c r="V10" s="13">
        <f>D10/$T$10*100</f>
        <v>51.371343553077232</v>
      </c>
      <c r="W10" s="4">
        <f>E10/$T$10*100</f>
        <v>0</v>
      </c>
      <c r="X10" s="4">
        <f>F10/$T$10*100</f>
        <v>0</v>
      </c>
      <c r="Y10" s="48">
        <f>G10/$T$10*100</f>
        <v>48.628656446922768</v>
      </c>
      <c r="AC10" s="14"/>
    </row>
    <row r="11" spans="1:29" s="106" customFormat="1" ht="17" thickBot="1" x14ac:dyDescent="0.25">
      <c r="A11" s="98" t="s">
        <v>122</v>
      </c>
      <c r="B11" s="99" t="s">
        <v>8</v>
      </c>
      <c r="C11" s="100">
        <v>127.74830304604941</v>
      </c>
      <c r="D11" s="101">
        <v>620839</v>
      </c>
      <c r="E11" s="102">
        <v>8017</v>
      </c>
      <c r="F11" s="102"/>
      <c r="G11" s="102">
        <v>736885</v>
      </c>
      <c r="H11" s="102"/>
      <c r="I11" s="102"/>
      <c r="J11" s="102"/>
      <c r="K11" s="103"/>
      <c r="L11" s="103">
        <f t="shared" si="0"/>
        <v>4859.8610329579587</v>
      </c>
      <c r="M11" s="103">
        <f t="shared" si="1"/>
        <v>62.756215220409722</v>
      </c>
      <c r="N11" s="103">
        <f t="shared" si="2"/>
        <v>0</v>
      </c>
      <c r="O11" s="104">
        <f t="shared" si="3"/>
        <v>5768.2566611814418</v>
      </c>
      <c r="P11" s="103"/>
      <c r="Q11" s="103"/>
      <c r="R11" s="103"/>
      <c r="S11" s="103"/>
      <c r="T11" s="99">
        <f t="shared" si="4"/>
        <v>1365741</v>
      </c>
      <c r="U11" s="105">
        <f t="shared" si="5"/>
        <v>10690.873909359811</v>
      </c>
      <c r="V11" s="100">
        <f>D11/$T$11*100</f>
        <v>45.45803340457671</v>
      </c>
      <c r="W11" s="106">
        <f>E11/$T$11*100</f>
        <v>0.58700734619521566</v>
      </c>
      <c r="X11" s="106">
        <f>F11/$T$11*100</f>
        <v>0</v>
      </c>
      <c r="Y11" s="107">
        <f>G11/$T$11*100</f>
        <v>53.954959249228075</v>
      </c>
      <c r="AC11" s="108"/>
    </row>
    <row r="12" spans="1:29" x14ac:dyDescent="0.2">
      <c r="A12" s="1" t="s">
        <v>124</v>
      </c>
      <c r="B12" s="8" t="s">
        <v>9</v>
      </c>
      <c r="C12" s="13">
        <v>130.41766483297067</v>
      </c>
      <c r="D12" s="29">
        <v>553353</v>
      </c>
      <c r="E12" s="30">
        <v>6893</v>
      </c>
      <c r="F12" s="30"/>
      <c r="G12" s="30"/>
      <c r="H12" s="30"/>
      <c r="I12" s="30"/>
      <c r="J12" s="30"/>
      <c r="K12" s="28"/>
      <c r="L12" s="28">
        <f t="shared" si="0"/>
        <v>4242.9298263290766</v>
      </c>
      <c r="M12" s="28">
        <f t="shared" si="1"/>
        <v>52.853269599850954</v>
      </c>
      <c r="N12" s="28">
        <f t="shared" si="2"/>
        <v>0</v>
      </c>
      <c r="O12" s="42">
        <f t="shared" si="3"/>
        <v>0</v>
      </c>
      <c r="P12" s="28"/>
      <c r="Q12" s="28"/>
      <c r="R12" s="28"/>
      <c r="S12" s="28"/>
      <c r="T12" s="8">
        <f t="shared" si="4"/>
        <v>560246</v>
      </c>
      <c r="U12" s="43">
        <f t="shared" si="5"/>
        <v>4295.7830959289277</v>
      </c>
      <c r="V12" s="13">
        <f>D12/$T$12*100</f>
        <v>98.76964761908161</v>
      </c>
      <c r="W12" s="4">
        <f>E12/$T$12*100</f>
        <v>1.2303523809183823</v>
      </c>
      <c r="X12" s="4">
        <f>F12/$T$12*100</f>
        <v>0</v>
      </c>
      <c r="Y12" s="48">
        <f>G12/$T$12*100</f>
        <v>0</v>
      </c>
      <c r="AC12" s="14"/>
    </row>
    <row r="13" spans="1:29" x14ac:dyDescent="0.2">
      <c r="A13" s="1" t="s">
        <v>126</v>
      </c>
      <c r="B13" s="8" t="s">
        <v>10</v>
      </c>
      <c r="C13" s="13">
        <v>125.39322005484902</v>
      </c>
      <c r="D13" s="29">
        <v>460091</v>
      </c>
      <c r="E13" s="30"/>
      <c r="F13" s="30"/>
      <c r="G13" s="30"/>
      <c r="H13" s="30"/>
      <c r="I13" s="30"/>
      <c r="J13" s="30"/>
      <c r="K13" s="28"/>
      <c r="L13" s="28">
        <f t="shared" si="0"/>
        <v>3669.185621030776</v>
      </c>
      <c r="M13" s="28">
        <f t="shared" si="1"/>
        <v>0</v>
      </c>
      <c r="N13" s="28">
        <f t="shared" si="2"/>
        <v>0</v>
      </c>
      <c r="O13" s="42">
        <f t="shared" si="3"/>
        <v>0</v>
      </c>
      <c r="P13" s="28"/>
      <c r="Q13" s="28"/>
      <c r="R13" s="28"/>
      <c r="S13" s="28"/>
      <c r="T13" s="8">
        <f t="shared" si="4"/>
        <v>460091</v>
      </c>
      <c r="U13" s="43">
        <f t="shared" si="5"/>
        <v>3669.185621030776</v>
      </c>
      <c r="V13" s="13">
        <f>D13/$T$13*100</f>
        <v>100</v>
      </c>
      <c r="W13" s="4">
        <f>E13/$T$13*100</f>
        <v>0</v>
      </c>
      <c r="X13" s="4">
        <f>F13/$T$13*100</f>
        <v>0</v>
      </c>
      <c r="Y13" s="48">
        <f>G13/$T$13*100</f>
        <v>0</v>
      </c>
      <c r="AC13" s="14"/>
    </row>
    <row r="14" spans="1:29" x14ac:dyDescent="0.2">
      <c r="A14" s="1" t="s">
        <v>128</v>
      </c>
      <c r="B14" s="8" t="s">
        <v>11</v>
      </c>
      <c r="C14" s="13">
        <v>122.16499836554055</v>
      </c>
      <c r="D14" s="29">
        <v>657423</v>
      </c>
      <c r="E14" s="30"/>
      <c r="F14" s="30"/>
      <c r="G14" s="30"/>
      <c r="H14" s="30"/>
      <c r="I14" s="30"/>
      <c r="J14" s="30"/>
      <c r="K14" s="28"/>
      <c r="L14" s="28">
        <f t="shared" si="0"/>
        <v>5381.4350165410497</v>
      </c>
      <c r="M14" s="28">
        <f t="shared" si="1"/>
        <v>0</v>
      </c>
      <c r="N14" s="28">
        <f t="shared" si="2"/>
        <v>0</v>
      </c>
      <c r="O14" s="42">
        <f t="shared" si="3"/>
        <v>0</v>
      </c>
      <c r="P14" s="28"/>
      <c r="Q14" s="28"/>
      <c r="R14" s="28"/>
      <c r="S14" s="28"/>
      <c r="T14" s="8">
        <f t="shared" si="4"/>
        <v>657423</v>
      </c>
      <c r="U14" s="43">
        <f t="shared" si="5"/>
        <v>5381.4350165410497</v>
      </c>
      <c r="V14" s="13">
        <f>D14/$T$14*100</f>
        <v>100</v>
      </c>
      <c r="W14" s="4">
        <f>E14/$T$14*100</f>
        <v>0</v>
      </c>
      <c r="X14" s="4">
        <f>F14/$T$14*100</f>
        <v>0</v>
      </c>
      <c r="Y14" s="48">
        <f>G14/$T$14*100</f>
        <v>0</v>
      </c>
      <c r="AC14" s="14"/>
    </row>
    <row r="15" spans="1:29" x14ac:dyDescent="0.2">
      <c r="A15" s="1" t="s">
        <v>130</v>
      </c>
      <c r="B15" s="8" t="s">
        <v>12</v>
      </c>
      <c r="C15" s="13">
        <v>146.87068065753425</v>
      </c>
      <c r="D15" s="29">
        <v>305692</v>
      </c>
      <c r="E15" s="30">
        <v>7022</v>
      </c>
      <c r="F15" s="30"/>
      <c r="G15" s="30">
        <v>30832</v>
      </c>
      <c r="H15" s="30"/>
      <c r="I15" s="30"/>
      <c r="J15" s="30"/>
      <c r="K15" s="28"/>
      <c r="L15" s="28">
        <f t="shared" si="0"/>
        <v>2081.3684435275236</v>
      </c>
      <c r="M15" s="28">
        <f t="shared" si="1"/>
        <v>47.810767735008668</v>
      </c>
      <c r="N15" s="28">
        <f t="shared" si="2"/>
        <v>0</v>
      </c>
      <c r="O15" s="42">
        <f t="shared" si="3"/>
        <v>209.92617356960798</v>
      </c>
      <c r="P15" s="28"/>
      <c r="Q15" s="28"/>
      <c r="R15" s="28"/>
      <c r="S15" s="28"/>
      <c r="T15" s="8">
        <f t="shared" si="4"/>
        <v>343546</v>
      </c>
      <c r="U15" s="43">
        <f t="shared" si="5"/>
        <v>2339.1053848321403</v>
      </c>
      <c r="V15" s="13">
        <f>D15/$T$15*100</f>
        <v>88.981388227486278</v>
      </c>
      <c r="W15" s="4">
        <f>E15/$T$15*100</f>
        <v>2.04397664359358</v>
      </c>
      <c r="X15" s="4">
        <f>F15/$T$15*100</f>
        <v>0</v>
      </c>
      <c r="Y15" s="48">
        <f>G15/$T$15*100</f>
        <v>8.9746351289201449</v>
      </c>
      <c r="AC15" s="14"/>
    </row>
    <row r="16" spans="1:29" x14ac:dyDescent="0.2">
      <c r="A16" s="1" t="s">
        <v>132</v>
      </c>
      <c r="B16" s="8" t="s">
        <v>13</v>
      </c>
      <c r="C16" s="13">
        <v>130.89217923422584</v>
      </c>
      <c r="D16" s="29">
        <v>356647</v>
      </c>
      <c r="E16" s="30"/>
      <c r="F16" s="30"/>
      <c r="G16" s="30">
        <v>78141</v>
      </c>
      <c r="H16" s="30"/>
      <c r="I16" s="30"/>
      <c r="J16" s="30"/>
      <c r="K16" s="28"/>
      <c r="L16" s="28">
        <f t="shared" si="0"/>
        <v>2724.7388047669051</v>
      </c>
      <c r="M16" s="28">
        <f t="shared" si="1"/>
        <v>0</v>
      </c>
      <c r="N16" s="28">
        <f t="shared" si="2"/>
        <v>0</v>
      </c>
      <c r="O16" s="42">
        <f t="shared" si="3"/>
        <v>596.98753934083481</v>
      </c>
      <c r="P16" s="28"/>
      <c r="Q16" s="28"/>
      <c r="R16" s="28"/>
      <c r="S16" s="28"/>
      <c r="T16" s="8">
        <f t="shared" si="4"/>
        <v>434788</v>
      </c>
      <c r="U16" s="43">
        <f t="shared" si="5"/>
        <v>3321.7263441077398</v>
      </c>
      <c r="V16" s="13">
        <f>D16/$T$16*100</f>
        <v>82.027792855368602</v>
      </c>
      <c r="W16" s="4">
        <f>E16/$T$16*100</f>
        <v>0</v>
      </c>
      <c r="X16" s="4">
        <f>F16/$T$16*100</f>
        <v>0</v>
      </c>
      <c r="Y16" s="48">
        <f>G16/$T$16*100</f>
        <v>17.972207144631405</v>
      </c>
      <c r="AC16" s="14"/>
    </row>
    <row r="17" spans="1:29" ht="16" thickBot="1" x14ac:dyDescent="0.25">
      <c r="A17" s="1" t="s">
        <v>134</v>
      </c>
      <c r="B17" s="8" t="s">
        <v>14</v>
      </c>
      <c r="C17" s="13">
        <v>68.818694063301194</v>
      </c>
      <c r="D17" s="29">
        <v>613778</v>
      </c>
      <c r="E17" s="30">
        <v>6706</v>
      </c>
      <c r="F17" s="30"/>
      <c r="G17" s="30">
        <v>117054</v>
      </c>
      <c r="H17" s="30"/>
      <c r="I17" s="30"/>
      <c r="J17" s="30"/>
      <c r="K17" s="28"/>
      <c r="L17" s="28">
        <f t="shared" si="0"/>
        <v>8918.7684880423822</v>
      </c>
      <c r="M17" s="28">
        <f t="shared" si="1"/>
        <v>97.444453012020972</v>
      </c>
      <c r="N17" s="28">
        <f t="shared" si="2"/>
        <v>0</v>
      </c>
      <c r="O17" s="42">
        <f t="shared" si="3"/>
        <v>1700.9041161451094</v>
      </c>
      <c r="P17" s="28"/>
      <c r="Q17" s="28"/>
      <c r="R17" s="28"/>
      <c r="S17" s="28"/>
      <c r="T17" s="8">
        <f t="shared" si="4"/>
        <v>737538</v>
      </c>
      <c r="U17" s="43">
        <f t="shared" si="5"/>
        <v>10717.117057199514</v>
      </c>
      <c r="V17" s="13">
        <f>D17/$T$17*100</f>
        <v>83.219847655307262</v>
      </c>
      <c r="W17" s="4">
        <f>E17/$T$17*100</f>
        <v>0.90924128655065917</v>
      </c>
      <c r="X17" s="4">
        <f>F17/$T$17*100</f>
        <v>0</v>
      </c>
      <c r="Y17" s="48">
        <f>G17/$T$17*100</f>
        <v>15.87091105814209</v>
      </c>
      <c r="AC17" s="14"/>
    </row>
    <row r="18" spans="1:29" x14ac:dyDescent="0.2">
      <c r="A18" s="109" t="s">
        <v>136</v>
      </c>
      <c r="B18" s="88" t="s">
        <v>15</v>
      </c>
      <c r="C18" s="89">
        <v>130.65055284958299</v>
      </c>
      <c r="D18" s="90">
        <v>281028</v>
      </c>
      <c r="E18" s="91"/>
      <c r="F18" s="91"/>
      <c r="G18" s="91">
        <v>157529</v>
      </c>
      <c r="H18" s="91"/>
      <c r="I18" s="91"/>
      <c r="J18" s="91"/>
      <c r="K18" s="92"/>
      <c r="L18" s="92">
        <f t="shared" si="0"/>
        <v>2150.9897499136146</v>
      </c>
      <c r="M18" s="92">
        <f t="shared" si="1"/>
        <v>0</v>
      </c>
      <c r="N18" s="92">
        <f t="shared" si="2"/>
        <v>0</v>
      </c>
      <c r="O18" s="93">
        <f t="shared" si="3"/>
        <v>1205.7277720161044</v>
      </c>
      <c r="P18" s="92"/>
      <c r="Q18" s="92"/>
      <c r="R18" s="92"/>
      <c r="S18" s="92"/>
      <c r="T18" s="88">
        <f t="shared" si="4"/>
        <v>438557</v>
      </c>
      <c r="U18" s="94">
        <f t="shared" si="5"/>
        <v>3356.7175219297187</v>
      </c>
      <c r="V18" s="89">
        <f>D18/$T$18*100</f>
        <v>64.080153777046093</v>
      </c>
      <c r="W18" s="95">
        <f>E18/$T$18*100</f>
        <v>0</v>
      </c>
      <c r="X18" s="95">
        <f>F18/$T$18*100</f>
        <v>0</v>
      </c>
      <c r="Y18" s="112">
        <f>G18/$T$18*100</f>
        <v>35.919846222953915</v>
      </c>
      <c r="AC18" s="14"/>
    </row>
    <row r="19" spans="1:29" x14ac:dyDescent="0.2">
      <c r="A19" s="110" t="s">
        <v>138</v>
      </c>
      <c r="B19" s="8" t="s">
        <v>16</v>
      </c>
      <c r="C19" s="13">
        <v>110.44600086309183</v>
      </c>
      <c r="D19" s="29">
        <v>284562</v>
      </c>
      <c r="E19" s="30"/>
      <c r="F19" s="30"/>
      <c r="G19" s="30">
        <v>132169</v>
      </c>
      <c r="H19" s="30"/>
      <c r="I19" s="30"/>
      <c r="J19" s="30"/>
      <c r="K19" s="28"/>
      <c r="L19" s="28">
        <f t="shared" si="0"/>
        <v>2576.4807940193441</v>
      </c>
      <c r="M19" s="28">
        <f t="shared" si="1"/>
        <v>0</v>
      </c>
      <c r="N19" s="28">
        <f t="shared" si="2"/>
        <v>0</v>
      </c>
      <c r="O19" s="42">
        <f t="shared" si="3"/>
        <v>1196.6843431826551</v>
      </c>
      <c r="P19" s="28"/>
      <c r="Q19" s="28"/>
      <c r="R19" s="28"/>
      <c r="S19" s="28"/>
      <c r="T19" s="8">
        <f t="shared" si="4"/>
        <v>416731</v>
      </c>
      <c r="U19" s="43">
        <f t="shared" si="5"/>
        <v>3773.1651372019992</v>
      </c>
      <c r="V19" s="13">
        <f>D19/$T$19*100</f>
        <v>68.28433689838289</v>
      </c>
      <c r="W19" s="4">
        <f>E19/$T$19*100</f>
        <v>0</v>
      </c>
      <c r="X19" s="4">
        <f>F19/$T$19*100</f>
        <v>0</v>
      </c>
      <c r="Y19" s="113">
        <f>G19/$T$19*100</f>
        <v>31.71566310161711</v>
      </c>
      <c r="AC19" s="14"/>
    </row>
    <row r="20" spans="1:29" ht="16" thickBot="1" x14ac:dyDescent="0.25">
      <c r="A20" s="111" t="s">
        <v>140</v>
      </c>
      <c r="B20" s="99" t="s">
        <v>17</v>
      </c>
      <c r="C20" s="100">
        <v>117.52188726819432</v>
      </c>
      <c r="D20" s="101">
        <v>400417</v>
      </c>
      <c r="E20" s="102">
        <v>5097</v>
      </c>
      <c r="F20" s="102"/>
      <c r="G20" s="102">
        <v>228269</v>
      </c>
      <c r="H20" s="102"/>
      <c r="I20" s="102"/>
      <c r="J20" s="102"/>
      <c r="K20" s="103"/>
      <c r="L20" s="103">
        <f t="shared" si="0"/>
        <v>3407.1695860892405</v>
      </c>
      <c r="M20" s="103">
        <f t="shared" si="1"/>
        <v>43.370644553794811</v>
      </c>
      <c r="N20" s="103">
        <f t="shared" si="2"/>
        <v>0</v>
      </c>
      <c r="O20" s="104">
        <f t="shared" si="3"/>
        <v>1942.3530825289756</v>
      </c>
      <c r="P20" s="103"/>
      <c r="Q20" s="103"/>
      <c r="R20" s="103"/>
      <c r="S20" s="103"/>
      <c r="T20" s="99">
        <f t="shared" si="4"/>
        <v>633783</v>
      </c>
      <c r="U20" s="105">
        <f t="shared" si="5"/>
        <v>5392.8933131720105</v>
      </c>
      <c r="V20" s="100">
        <f>D20/$T$20*100</f>
        <v>63.178879837420695</v>
      </c>
      <c r="W20" s="106">
        <f>E20/$T$20*100</f>
        <v>0.80421847856442974</v>
      </c>
      <c r="X20" s="106">
        <f>F20/$T$20*100</f>
        <v>0</v>
      </c>
      <c r="Y20" s="114">
        <f>G20/$T$20*100</f>
        <v>36.016901684014876</v>
      </c>
      <c r="AC20" s="14"/>
    </row>
    <row r="21" spans="1:29" x14ac:dyDescent="0.2">
      <c r="A21" s="51" t="s">
        <v>70</v>
      </c>
      <c r="B21" s="8" t="s">
        <v>18</v>
      </c>
      <c r="C21" s="13">
        <v>97.198118384657477</v>
      </c>
      <c r="D21" s="29">
        <v>4878840</v>
      </c>
      <c r="E21" s="30">
        <v>93615</v>
      </c>
      <c r="F21" s="30"/>
      <c r="G21" s="30"/>
      <c r="H21" s="30"/>
      <c r="I21" s="30"/>
      <c r="J21" s="30"/>
      <c r="K21" s="28"/>
      <c r="L21" s="28">
        <f t="shared" si="0"/>
        <v>50194.798840572155</v>
      </c>
      <c r="M21" s="28">
        <f t="shared" si="1"/>
        <v>963.13592851172859</v>
      </c>
      <c r="N21" s="28">
        <f t="shared" si="2"/>
        <v>0</v>
      </c>
      <c r="O21" s="42">
        <f t="shared" si="3"/>
        <v>0</v>
      </c>
      <c r="P21" s="28"/>
      <c r="Q21" s="28"/>
      <c r="R21" s="28"/>
      <c r="S21" s="28"/>
      <c r="T21" s="8">
        <f t="shared" si="4"/>
        <v>4972455</v>
      </c>
      <c r="U21" s="43">
        <f t="shared" si="5"/>
        <v>51157.934769083884</v>
      </c>
      <c r="V21" s="13">
        <f>D21/$T$21*100</f>
        <v>98.117328361945965</v>
      </c>
      <c r="W21" s="4">
        <f>E21/$T$21*100</f>
        <v>1.8826716380540398</v>
      </c>
      <c r="X21" s="4">
        <f>F21/$T$21*100</f>
        <v>0</v>
      </c>
      <c r="Y21" s="48">
        <f>G21/$T$21*100</f>
        <v>0</v>
      </c>
      <c r="AC21" s="14"/>
    </row>
    <row r="22" spans="1:29" x14ac:dyDescent="0.2">
      <c r="A22" s="1" t="s">
        <v>72</v>
      </c>
      <c r="B22" s="8" t="s">
        <v>19</v>
      </c>
      <c r="C22" s="13">
        <v>127.31000379392765</v>
      </c>
      <c r="D22" s="29">
        <v>4462885</v>
      </c>
      <c r="E22" s="30">
        <v>70261</v>
      </c>
      <c r="F22" s="30"/>
      <c r="G22" s="30"/>
      <c r="H22" s="30"/>
      <c r="I22" s="30"/>
      <c r="J22" s="30"/>
      <c r="K22" s="28"/>
      <c r="L22" s="28">
        <f t="shared" si="0"/>
        <v>35055.257772389348</v>
      </c>
      <c r="M22" s="28">
        <f t="shared" si="1"/>
        <v>551.88907317707003</v>
      </c>
      <c r="N22" s="28">
        <f t="shared" si="2"/>
        <v>0</v>
      </c>
      <c r="O22" s="42">
        <f t="shared" si="3"/>
        <v>0</v>
      </c>
      <c r="P22" s="28"/>
      <c r="Q22" s="28"/>
      <c r="R22" s="28"/>
      <c r="S22" s="28"/>
      <c r="T22" s="8">
        <f t="shared" si="4"/>
        <v>4533146</v>
      </c>
      <c r="U22" s="43">
        <f t="shared" si="5"/>
        <v>35607.146845566422</v>
      </c>
      <c r="V22" s="13">
        <f>D22/$T$22*100</f>
        <v>98.45006095104813</v>
      </c>
      <c r="W22" s="4">
        <f>E22/$T$22*100</f>
        <v>1.5499390489518758</v>
      </c>
      <c r="X22" s="4">
        <f>F22/$T$22*100</f>
        <v>0</v>
      </c>
      <c r="Y22" s="48">
        <f>G22/$T$22*100</f>
        <v>0</v>
      </c>
      <c r="AC22" s="14"/>
    </row>
    <row r="23" spans="1:29" ht="16" x14ac:dyDescent="0.2">
      <c r="A23" s="52" t="s">
        <v>74</v>
      </c>
      <c r="B23" s="8" t="s">
        <v>20</v>
      </c>
      <c r="C23" s="13">
        <v>143.4385517594913</v>
      </c>
      <c r="D23" s="29">
        <v>4664354</v>
      </c>
      <c r="E23" s="30">
        <v>71779</v>
      </c>
      <c r="F23" s="30"/>
      <c r="G23" s="30"/>
      <c r="H23" s="30"/>
      <c r="I23" s="30"/>
      <c r="J23" s="30"/>
      <c r="K23" s="28"/>
      <c r="L23" s="28">
        <f t="shared" si="0"/>
        <v>32518.133673162665</v>
      </c>
      <c r="M23" s="28">
        <f t="shared" si="1"/>
        <v>500.41637425588686</v>
      </c>
      <c r="N23" s="28">
        <f t="shared" si="2"/>
        <v>0</v>
      </c>
      <c r="O23" s="42">
        <f t="shared" si="3"/>
        <v>0</v>
      </c>
      <c r="P23" s="28"/>
      <c r="Q23" s="28"/>
      <c r="R23" s="28"/>
      <c r="S23" s="28"/>
      <c r="T23" s="8">
        <f t="shared" si="4"/>
        <v>4736133</v>
      </c>
      <c r="U23" s="43">
        <f t="shared" si="5"/>
        <v>33018.550047418554</v>
      </c>
      <c r="V23" s="13">
        <f>D23/$T$23*100</f>
        <v>98.484438676025349</v>
      </c>
      <c r="W23" s="4">
        <f>E23/$T$23*100</f>
        <v>1.5155613239746435</v>
      </c>
      <c r="X23" s="4">
        <f>F23/$T$23*100</f>
        <v>0</v>
      </c>
      <c r="Y23" s="48">
        <f>G23/$T$23*100</f>
        <v>0</v>
      </c>
      <c r="AC23" s="14"/>
    </row>
    <row r="24" spans="1:29" ht="16" x14ac:dyDescent="0.2">
      <c r="A24" s="52" t="s">
        <v>76</v>
      </c>
      <c r="B24" s="8" t="s">
        <v>21</v>
      </c>
      <c r="C24" s="13">
        <v>110.74207412094421</v>
      </c>
      <c r="D24" s="29">
        <v>2431902</v>
      </c>
      <c r="E24" s="30">
        <v>58768</v>
      </c>
      <c r="F24" s="30"/>
      <c r="G24" s="30">
        <v>1332796</v>
      </c>
      <c r="H24" s="30"/>
      <c r="I24" s="30"/>
      <c r="J24" s="30"/>
      <c r="K24" s="28"/>
      <c r="L24" s="28">
        <f t="shared" si="0"/>
        <v>21960.054652254919</v>
      </c>
      <c r="M24" s="28">
        <f t="shared" si="1"/>
        <v>530.67454683770859</v>
      </c>
      <c r="N24" s="28">
        <f t="shared" si="2"/>
        <v>0</v>
      </c>
      <c r="O24" s="42">
        <f t="shared" si="3"/>
        <v>12035.136695601528</v>
      </c>
      <c r="P24" s="28"/>
      <c r="Q24" s="28"/>
      <c r="R24" s="28"/>
      <c r="S24" s="28"/>
      <c r="T24" s="8">
        <f t="shared" si="4"/>
        <v>3823466</v>
      </c>
      <c r="U24" s="43">
        <f t="shared" si="5"/>
        <v>34525.865894694158</v>
      </c>
      <c r="V24" s="13">
        <f>D24/$T$24*100</f>
        <v>63.604645627815181</v>
      </c>
      <c r="W24" s="4">
        <f>E24/$T$24*100</f>
        <v>1.5370347218989262</v>
      </c>
      <c r="X24" s="4">
        <f>F24/$T$24*100</f>
        <v>0</v>
      </c>
      <c r="Y24" s="48">
        <f>G24/$T$24*100</f>
        <v>34.858319650285893</v>
      </c>
      <c r="AC24" s="14"/>
    </row>
    <row r="25" spans="1:29" ht="16" x14ac:dyDescent="0.2">
      <c r="A25" s="52" t="s">
        <v>78</v>
      </c>
      <c r="B25" s="8" t="s">
        <v>22</v>
      </c>
      <c r="C25" s="13">
        <v>137.29877325454129</v>
      </c>
      <c r="D25" s="29">
        <v>2251434</v>
      </c>
      <c r="E25" s="30">
        <v>43942</v>
      </c>
      <c r="F25" s="30"/>
      <c r="G25" s="30">
        <v>1280118</v>
      </c>
      <c r="H25" s="30"/>
      <c r="I25" s="30"/>
      <c r="J25" s="30"/>
      <c r="K25" s="28"/>
      <c r="L25" s="28">
        <f t="shared" si="0"/>
        <v>16398.063483247704</v>
      </c>
      <c r="M25" s="28">
        <f t="shared" si="1"/>
        <v>320.04655947314939</v>
      </c>
      <c r="N25" s="28">
        <f t="shared" si="2"/>
        <v>0</v>
      </c>
      <c r="O25" s="42">
        <f t="shared" si="3"/>
        <v>9323.5938650869102</v>
      </c>
      <c r="P25" s="28"/>
      <c r="Q25" s="28"/>
      <c r="R25" s="28"/>
      <c r="S25" s="28"/>
      <c r="T25" s="8">
        <f t="shared" si="4"/>
        <v>3575494</v>
      </c>
      <c r="U25" s="43">
        <f t="shared" si="5"/>
        <v>26041.703907807765</v>
      </c>
      <c r="V25" s="13">
        <f>D25/$T$25*100</f>
        <v>62.968473726987092</v>
      </c>
      <c r="W25" s="4">
        <f>E25/$T$25*100</f>
        <v>1.2289770308662245</v>
      </c>
      <c r="X25" s="4">
        <f>F25/$T$25*100</f>
        <v>0</v>
      </c>
      <c r="Y25" s="48">
        <f>G25/$T$25*100</f>
        <v>35.802549242146682</v>
      </c>
      <c r="AC25" s="14"/>
    </row>
    <row r="26" spans="1:29" ht="17" thickBot="1" x14ac:dyDescent="0.25">
      <c r="A26" s="52" t="s">
        <v>80</v>
      </c>
      <c r="B26" s="8" t="s">
        <v>23</v>
      </c>
      <c r="C26" s="13">
        <v>136.74822250998346</v>
      </c>
      <c r="D26" s="29">
        <v>1909707</v>
      </c>
      <c r="E26" s="30">
        <v>32690</v>
      </c>
      <c r="F26" s="30"/>
      <c r="G26" s="30">
        <v>1171470</v>
      </c>
      <c r="H26" s="30"/>
      <c r="I26" s="30"/>
      <c r="J26" s="30"/>
      <c r="K26" s="28"/>
      <c r="L26" s="28">
        <f t="shared" si="0"/>
        <v>13965.132160021894</v>
      </c>
      <c r="M26" s="28">
        <f t="shared" si="1"/>
        <v>239.05246737385144</v>
      </c>
      <c r="N26" s="28">
        <f t="shared" si="2"/>
        <v>0</v>
      </c>
      <c r="O26" s="42">
        <f t="shared" si="3"/>
        <v>8566.619576459032</v>
      </c>
      <c r="P26" s="28"/>
      <c r="Q26" s="28"/>
      <c r="R26" s="28"/>
      <c r="S26" s="28"/>
      <c r="T26" s="8">
        <f t="shared" si="4"/>
        <v>3113867</v>
      </c>
      <c r="U26" s="43">
        <f t="shared" si="5"/>
        <v>22770.804203854779</v>
      </c>
      <c r="V26" s="13">
        <f>D26/$T$26*100</f>
        <v>61.329112643539361</v>
      </c>
      <c r="W26" s="4">
        <f>E26/$T$26*100</f>
        <v>1.0498200469063066</v>
      </c>
      <c r="X26" s="4">
        <f>F26/$T$26*100</f>
        <v>0</v>
      </c>
      <c r="Y26" s="48">
        <f>G26/$T$26*100</f>
        <v>37.62106730955432</v>
      </c>
      <c r="AC26" s="14"/>
    </row>
    <row r="27" spans="1:29" s="95" customFormat="1" x14ac:dyDescent="0.2">
      <c r="A27" s="109" t="s">
        <v>82</v>
      </c>
      <c r="B27" s="88" t="s">
        <v>24</v>
      </c>
      <c r="C27" s="89">
        <v>117.01602075231662</v>
      </c>
      <c r="D27" s="90">
        <v>1935702</v>
      </c>
      <c r="E27" s="91">
        <v>25143</v>
      </c>
      <c r="F27" s="91"/>
      <c r="G27" s="91">
        <v>2265557</v>
      </c>
      <c r="H27" s="91"/>
      <c r="I27" s="91"/>
      <c r="J27" s="91"/>
      <c r="K27" s="92"/>
      <c r="L27" s="92">
        <f t="shared" si="0"/>
        <v>16542.196423660887</v>
      </c>
      <c r="M27" s="92">
        <f t="shared" si="1"/>
        <v>214.8680141261959</v>
      </c>
      <c r="N27" s="92">
        <f t="shared" si="2"/>
        <v>0</v>
      </c>
      <c r="O27" s="93">
        <f t="shared" si="3"/>
        <v>19361.083939056676</v>
      </c>
      <c r="P27" s="92"/>
      <c r="Q27" s="92"/>
      <c r="R27" s="92"/>
      <c r="S27" s="92"/>
      <c r="T27" s="88">
        <f t="shared" si="4"/>
        <v>4226402</v>
      </c>
      <c r="U27" s="94">
        <f t="shared" si="5"/>
        <v>36118.148376843761</v>
      </c>
      <c r="V27" s="89">
        <f>D27/$T$27*100</f>
        <v>45.800233863224562</v>
      </c>
      <c r="W27" s="95">
        <f>E27/$T$27*100</f>
        <v>0.59490318242325269</v>
      </c>
      <c r="X27" s="95">
        <f>F27/$T$27*100</f>
        <v>0</v>
      </c>
      <c r="Y27" s="96">
        <f>G27/$T$27*100</f>
        <v>53.604862954352186</v>
      </c>
      <c r="AC27" s="97"/>
    </row>
    <row r="28" spans="1:29" x14ac:dyDescent="0.2">
      <c r="A28" s="110" t="s">
        <v>84</v>
      </c>
      <c r="B28" s="8" t="s">
        <v>25</v>
      </c>
      <c r="C28" s="13">
        <v>124.6589491999994</v>
      </c>
      <c r="D28" s="29">
        <v>2119643</v>
      </c>
      <c r="E28" s="30">
        <v>33651</v>
      </c>
      <c r="F28" s="30"/>
      <c r="G28" s="30">
        <v>2178217</v>
      </c>
      <c r="H28" s="30"/>
      <c r="I28" s="30"/>
      <c r="J28" s="30"/>
      <c r="K28" s="28"/>
      <c r="L28" s="28">
        <f t="shared" si="0"/>
        <v>17003.536557967473</v>
      </c>
      <c r="M28" s="28">
        <f t="shared" si="1"/>
        <v>269.94451835151648</v>
      </c>
      <c r="N28" s="28">
        <f t="shared" si="2"/>
        <v>0</v>
      </c>
      <c r="O28" s="42">
        <f t="shared" si="3"/>
        <v>17473.410565216047</v>
      </c>
      <c r="P28" s="28"/>
      <c r="Q28" s="28"/>
      <c r="R28" s="28"/>
      <c r="S28" s="28"/>
      <c r="T28" s="8">
        <f t="shared" si="4"/>
        <v>4331511</v>
      </c>
      <c r="U28" s="43">
        <f t="shared" si="5"/>
        <v>34746.89164153504</v>
      </c>
      <c r="V28" s="13">
        <f>D28/$T$28*100</f>
        <v>48.935417686807213</v>
      </c>
      <c r="W28" s="4">
        <f>E28/$T$28*100</f>
        <v>0.77688824985091809</v>
      </c>
      <c r="X28" s="4">
        <f>F28/$T$28*100</f>
        <v>0</v>
      </c>
      <c r="Y28" s="48">
        <f>G28/$T$28*100</f>
        <v>50.287694063341867</v>
      </c>
      <c r="AC28" s="14"/>
    </row>
    <row r="29" spans="1:29" s="106" customFormat="1" ht="17" thickBot="1" x14ac:dyDescent="0.25">
      <c r="A29" s="98" t="s">
        <v>86</v>
      </c>
      <c r="B29" s="99" t="s">
        <v>26</v>
      </c>
      <c r="C29" s="100">
        <v>131.82322224628973</v>
      </c>
      <c r="D29" s="101">
        <v>2274690</v>
      </c>
      <c r="E29" s="102">
        <v>35450</v>
      </c>
      <c r="F29" s="102"/>
      <c r="G29" s="102">
        <v>2412667</v>
      </c>
      <c r="H29" s="102"/>
      <c r="I29" s="102"/>
      <c r="J29" s="102"/>
      <c r="K29" s="103"/>
      <c r="L29" s="103">
        <f t="shared" si="0"/>
        <v>17255.609150185395</v>
      </c>
      <c r="M29" s="103">
        <f t="shared" si="1"/>
        <v>268.9207515635415</v>
      </c>
      <c r="N29" s="103">
        <f t="shared" si="2"/>
        <v>0</v>
      </c>
      <c r="O29" s="104">
        <f t="shared" si="3"/>
        <v>18302.291196404938</v>
      </c>
      <c r="P29" s="103"/>
      <c r="Q29" s="103"/>
      <c r="R29" s="103"/>
      <c r="S29" s="103"/>
      <c r="T29" s="99">
        <f t="shared" si="4"/>
        <v>4722807</v>
      </c>
      <c r="U29" s="105">
        <f t="shared" si="5"/>
        <v>35826.821098153872</v>
      </c>
      <c r="V29" s="100">
        <f>D29/$T$29*100</f>
        <v>48.163941486493094</v>
      </c>
      <c r="W29" s="106">
        <f>E29/$T$29*100</f>
        <v>0.75061292997998852</v>
      </c>
      <c r="X29" s="106">
        <f>F29/$T$29*100</f>
        <v>0</v>
      </c>
      <c r="Y29" s="107">
        <f>G29/$T$29*100</f>
        <v>51.085445583526912</v>
      </c>
      <c r="AC29" s="108"/>
    </row>
    <row r="30" spans="1:29" x14ac:dyDescent="0.2">
      <c r="A30" s="1" t="s">
        <v>88</v>
      </c>
      <c r="B30" s="8" t="s">
        <v>27</v>
      </c>
      <c r="C30" s="13">
        <v>120.13545845490287</v>
      </c>
      <c r="D30" s="29">
        <v>3602989</v>
      </c>
      <c r="E30" s="30">
        <v>42301</v>
      </c>
      <c r="F30" s="30"/>
      <c r="G30" s="30"/>
      <c r="H30" s="30"/>
      <c r="I30" s="30"/>
      <c r="J30" s="30"/>
      <c r="K30" s="28"/>
      <c r="L30" s="28">
        <f t="shared" si="0"/>
        <v>29991.053818240602</v>
      </c>
      <c r="M30" s="28">
        <f t="shared" si="1"/>
        <v>352.11086338742518</v>
      </c>
      <c r="N30" s="28">
        <f t="shared" si="2"/>
        <v>0</v>
      </c>
      <c r="O30" s="42">
        <f t="shared" si="3"/>
        <v>0</v>
      </c>
      <c r="P30" s="28"/>
      <c r="Q30" s="28"/>
      <c r="R30" s="28"/>
      <c r="S30" s="28"/>
      <c r="T30" s="8">
        <f t="shared" si="4"/>
        <v>3645290</v>
      </c>
      <c r="U30" s="43">
        <f t="shared" si="5"/>
        <v>30343.164681628026</v>
      </c>
      <c r="V30" s="13">
        <f>D30/$T$30*100</f>
        <v>98.83957106293326</v>
      </c>
      <c r="W30" s="4">
        <f>E30/$T$30*100</f>
        <v>1.1604289370667356</v>
      </c>
      <c r="X30" s="4">
        <f>F30/$T$30*100</f>
        <v>0</v>
      </c>
      <c r="Y30" s="48">
        <f>G30/$T$30*100</f>
        <v>0</v>
      </c>
      <c r="AC30" s="14"/>
    </row>
    <row r="31" spans="1:29" x14ac:dyDescent="0.2">
      <c r="A31" s="1" t="s">
        <v>90</v>
      </c>
      <c r="B31" s="8" t="s">
        <v>28</v>
      </c>
      <c r="C31" s="13">
        <v>133.6306416614492</v>
      </c>
      <c r="D31" s="29">
        <v>2829915</v>
      </c>
      <c r="E31" s="30">
        <v>61759</v>
      </c>
      <c r="F31" s="30"/>
      <c r="G31" s="30"/>
      <c r="H31" s="30"/>
      <c r="I31" s="30"/>
      <c r="J31" s="30"/>
      <c r="K31" s="28"/>
      <c r="L31" s="28">
        <f t="shared" si="0"/>
        <v>21177.141446117861</v>
      </c>
      <c r="M31" s="28">
        <f t="shared" si="1"/>
        <v>462.16196549040978</v>
      </c>
      <c r="N31" s="28">
        <f t="shared" si="2"/>
        <v>0</v>
      </c>
      <c r="O31" s="42">
        <f t="shared" si="3"/>
        <v>0</v>
      </c>
      <c r="P31" s="28"/>
      <c r="Q31" s="28"/>
      <c r="R31" s="28"/>
      <c r="S31" s="28"/>
      <c r="T31" s="8">
        <f t="shared" si="4"/>
        <v>2891674</v>
      </c>
      <c r="U31" s="43">
        <f t="shared" si="5"/>
        <v>21639.303411608271</v>
      </c>
      <c r="V31" s="13">
        <f>D31/$T$31*100</f>
        <v>97.864247491245564</v>
      </c>
      <c r="W31" s="4">
        <f>E31/$T$31*100</f>
        <v>2.1357525087544444</v>
      </c>
      <c r="X31" s="4">
        <f>F31/$T$31*100</f>
        <v>0</v>
      </c>
      <c r="Y31" s="48">
        <f>G31/$T$31*100</f>
        <v>0</v>
      </c>
      <c r="AC31" s="14"/>
    </row>
    <row r="32" spans="1:29" x14ac:dyDescent="0.2">
      <c r="A32" s="1" t="s">
        <v>92</v>
      </c>
      <c r="B32" s="8" t="s">
        <v>29</v>
      </c>
      <c r="C32" s="13">
        <v>89.665815943679206</v>
      </c>
      <c r="D32" s="29">
        <v>3503325</v>
      </c>
      <c r="E32" s="30">
        <v>71845</v>
      </c>
      <c r="F32" s="30"/>
      <c r="G32" s="30"/>
      <c r="H32" s="30"/>
      <c r="I32" s="30"/>
      <c r="J32" s="30"/>
      <c r="K32" s="28"/>
      <c r="L32" s="28">
        <f t="shared" si="0"/>
        <v>39070.909723283003</v>
      </c>
      <c r="M32" s="28">
        <f t="shared" si="1"/>
        <v>801.2529551409782</v>
      </c>
      <c r="N32" s="28">
        <f t="shared" si="2"/>
        <v>0</v>
      </c>
      <c r="O32" s="42">
        <f t="shared" si="3"/>
        <v>0</v>
      </c>
      <c r="P32" s="28"/>
      <c r="Q32" s="28"/>
      <c r="R32" s="28"/>
      <c r="S32" s="28"/>
      <c r="T32" s="8">
        <f t="shared" si="4"/>
        <v>3575170</v>
      </c>
      <c r="U32" s="43">
        <f t="shared" si="5"/>
        <v>39872.162678423978</v>
      </c>
      <c r="V32" s="13">
        <f>D32/$T$32*100</f>
        <v>97.99044520959842</v>
      </c>
      <c r="W32" s="4">
        <f>E32/$T$32*100</f>
        <v>2.0095547904015754</v>
      </c>
      <c r="X32" s="4">
        <f>F32/$T$32*100</f>
        <v>0</v>
      </c>
      <c r="Y32" s="48">
        <f>G32/$T$32*100</f>
        <v>0</v>
      </c>
      <c r="AC32" s="14"/>
    </row>
    <row r="33" spans="1:29" x14ac:dyDescent="0.2">
      <c r="A33" s="1" t="s">
        <v>94</v>
      </c>
      <c r="B33" s="8" t="s">
        <v>30</v>
      </c>
      <c r="C33" s="13">
        <v>117.18257637794109</v>
      </c>
      <c r="D33" s="29">
        <v>1986776</v>
      </c>
      <c r="E33" s="30">
        <v>13135</v>
      </c>
      <c r="F33" s="30"/>
      <c r="G33" s="30">
        <v>1139683</v>
      </c>
      <c r="H33" s="30"/>
      <c r="I33" s="30"/>
      <c r="J33" s="30"/>
      <c r="K33" s="28"/>
      <c r="L33" s="28">
        <f t="shared" si="0"/>
        <v>16954.53420986568</v>
      </c>
      <c r="M33" s="28">
        <f t="shared" si="1"/>
        <v>112.09004278619517</v>
      </c>
      <c r="N33" s="28">
        <f t="shared" si="2"/>
        <v>0</v>
      </c>
      <c r="O33" s="42">
        <f t="shared" si="3"/>
        <v>9725.7035578758478</v>
      </c>
      <c r="P33" s="28"/>
      <c r="Q33" s="28"/>
      <c r="R33" s="28"/>
      <c r="S33" s="28"/>
      <c r="T33" s="8">
        <f t="shared" si="4"/>
        <v>3139594</v>
      </c>
      <c r="U33" s="43">
        <f t="shared" si="5"/>
        <v>26792.327810527724</v>
      </c>
      <c r="V33" s="13">
        <f>D33/$T$33*100</f>
        <v>63.281303251312117</v>
      </c>
      <c r="W33" s="4">
        <f>E33/$T$33*100</f>
        <v>0.41836619639354644</v>
      </c>
      <c r="X33" s="4">
        <f>F33/$T$33*100</f>
        <v>0</v>
      </c>
      <c r="Y33" s="48">
        <f>G33/$T$33*100</f>
        <v>36.300330552294341</v>
      </c>
      <c r="AC33" s="14"/>
    </row>
    <row r="34" spans="1:29" x14ac:dyDescent="0.2">
      <c r="A34" s="1" t="s">
        <v>96</v>
      </c>
      <c r="B34" s="8" t="s">
        <v>31</v>
      </c>
      <c r="C34" s="13">
        <v>93.866959001563146</v>
      </c>
      <c r="D34" s="29">
        <v>1322658</v>
      </c>
      <c r="E34" s="30">
        <v>13607</v>
      </c>
      <c r="F34" s="30"/>
      <c r="G34" s="30">
        <v>742116</v>
      </c>
      <c r="H34" s="30"/>
      <c r="I34" s="30"/>
      <c r="J34" s="30"/>
      <c r="K34" s="28"/>
      <c r="L34" s="28">
        <f t="shared" si="0"/>
        <v>14090.772877578511</v>
      </c>
      <c r="M34" s="28">
        <f t="shared" si="1"/>
        <v>144.96048604039049</v>
      </c>
      <c r="N34" s="28">
        <f t="shared" si="2"/>
        <v>0</v>
      </c>
      <c r="O34" s="42">
        <f t="shared" si="3"/>
        <v>7906.0407186264729</v>
      </c>
      <c r="P34" s="28"/>
      <c r="Q34" s="28"/>
      <c r="R34" s="28"/>
      <c r="S34" s="28"/>
      <c r="T34" s="8">
        <f t="shared" si="4"/>
        <v>2078381</v>
      </c>
      <c r="U34" s="43">
        <f t="shared" si="5"/>
        <v>22141.774082245374</v>
      </c>
      <c r="V34" s="13">
        <f>D34/$T$34*100</f>
        <v>63.638861209758943</v>
      </c>
      <c r="W34" s="4">
        <f>E34/$T$34*100</f>
        <v>0.6546922821176675</v>
      </c>
      <c r="X34" s="4">
        <f>F34/$T$34*100</f>
        <v>0</v>
      </c>
      <c r="Y34" s="48">
        <f>G34/$T$34*100</f>
        <v>35.706446508123392</v>
      </c>
      <c r="AC34" s="14"/>
    </row>
    <row r="35" spans="1:29" ht="16" thickBot="1" x14ac:dyDescent="0.25">
      <c r="A35" s="1" t="s">
        <v>98</v>
      </c>
      <c r="B35" s="8" t="s">
        <v>32</v>
      </c>
      <c r="C35" s="13">
        <v>124.3878226689603</v>
      </c>
      <c r="D35" s="29">
        <v>1196533</v>
      </c>
      <c r="E35" s="30">
        <v>18545</v>
      </c>
      <c r="F35" s="30"/>
      <c r="G35" s="30">
        <v>1050767</v>
      </c>
      <c r="H35" s="30"/>
      <c r="I35" s="30"/>
      <c r="J35" s="30"/>
      <c r="K35" s="28"/>
      <c r="L35" s="28">
        <f t="shared" si="0"/>
        <v>9619.3741021128317</v>
      </c>
      <c r="M35" s="28">
        <f t="shared" si="1"/>
        <v>149.09015691475491</v>
      </c>
      <c r="N35" s="28">
        <f t="shared" si="2"/>
        <v>0</v>
      </c>
      <c r="O35" s="42">
        <f t="shared" si="3"/>
        <v>8447.506978206864</v>
      </c>
      <c r="P35" s="28"/>
      <c r="Q35" s="28"/>
      <c r="R35" s="28"/>
      <c r="S35" s="28"/>
      <c r="T35" s="8">
        <f t="shared" si="4"/>
        <v>2265845</v>
      </c>
      <c r="U35" s="43">
        <f t="shared" si="5"/>
        <v>18215.971237234451</v>
      </c>
      <c r="V35" s="13">
        <f>D35/$T$35*100</f>
        <v>52.807363257416107</v>
      </c>
      <c r="W35" s="4">
        <f>E35/$T$35*100</f>
        <v>0.81845845589614463</v>
      </c>
      <c r="X35" s="4">
        <f>F35/$T$35*100</f>
        <v>0</v>
      </c>
      <c r="Y35" s="48">
        <f>G35/$T$35*100</f>
        <v>46.374178286687751</v>
      </c>
      <c r="AC35" s="14"/>
    </row>
    <row r="36" spans="1:29" s="95" customFormat="1" x14ac:dyDescent="0.2">
      <c r="A36" s="109" t="s">
        <v>100</v>
      </c>
      <c r="B36" s="88" t="s">
        <v>33</v>
      </c>
      <c r="C36" s="89">
        <v>116.31998434140461</v>
      </c>
      <c r="D36" s="90">
        <v>1231767</v>
      </c>
      <c r="E36" s="91">
        <v>17280</v>
      </c>
      <c r="F36" s="91"/>
      <c r="G36" s="91">
        <v>1591624</v>
      </c>
      <c r="H36" s="91"/>
      <c r="I36" s="91"/>
      <c r="J36" s="91"/>
      <c r="K36" s="92"/>
      <c r="L36" s="92">
        <f t="shared" si="0"/>
        <v>10589.470132532912</v>
      </c>
      <c r="M36" s="92">
        <f t="shared" si="1"/>
        <v>148.55572838870395</v>
      </c>
      <c r="N36" s="92">
        <f t="shared" si="2"/>
        <v>0</v>
      </c>
      <c r="O36" s="93">
        <f t="shared" si="3"/>
        <v>13683.151773202693</v>
      </c>
      <c r="P36" s="92"/>
      <c r="Q36" s="92"/>
      <c r="R36" s="92"/>
      <c r="S36" s="92"/>
      <c r="T36" s="88">
        <f t="shared" si="4"/>
        <v>2840671</v>
      </c>
      <c r="U36" s="94">
        <f t="shared" si="5"/>
        <v>24421.177634124309</v>
      </c>
      <c r="V36" s="89">
        <f>D36/$T$36*100</f>
        <v>43.361832468455518</v>
      </c>
      <c r="W36" s="95">
        <f>E36/$T$36*100</f>
        <v>0.60830698099146296</v>
      </c>
      <c r="X36" s="95">
        <f>F36/$T$36*100</f>
        <v>0</v>
      </c>
      <c r="Y36" s="96">
        <f>G36/$T$36*100</f>
        <v>56.029860550553025</v>
      </c>
      <c r="AC36" s="97"/>
    </row>
    <row r="37" spans="1:29" x14ac:dyDescent="0.2">
      <c r="A37" s="110" t="s">
        <v>102</v>
      </c>
      <c r="B37" s="8" t="s">
        <v>34</v>
      </c>
      <c r="C37" s="13">
        <v>75.56969360035805</v>
      </c>
      <c r="D37" s="29">
        <v>950487</v>
      </c>
      <c r="E37" s="30">
        <v>26754</v>
      </c>
      <c r="F37" s="30"/>
      <c r="G37" s="30">
        <v>905753</v>
      </c>
      <c r="H37" s="30"/>
      <c r="I37" s="30"/>
      <c r="J37" s="30"/>
      <c r="K37" s="28"/>
      <c r="L37" s="28">
        <f t="shared" si="0"/>
        <v>12577.621460615484</v>
      </c>
      <c r="M37" s="28">
        <f t="shared" si="1"/>
        <v>354.03081215977352</v>
      </c>
      <c r="N37" s="28">
        <f t="shared" si="2"/>
        <v>0</v>
      </c>
      <c r="O37" s="42">
        <f t="shared" si="3"/>
        <v>11985.664581227156</v>
      </c>
      <c r="P37" s="28"/>
      <c r="Q37" s="28"/>
      <c r="R37" s="28"/>
      <c r="S37" s="28"/>
      <c r="T37" s="8">
        <f t="shared" si="4"/>
        <v>1882994</v>
      </c>
      <c r="U37" s="43">
        <f t="shared" si="5"/>
        <v>24917.316854002413</v>
      </c>
      <c r="V37" s="13">
        <f>D37/$T$37*100</f>
        <v>50.477431154852326</v>
      </c>
      <c r="W37" s="4">
        <f>E37/$T$37*100</f>
        <v>1.4208223711812147</v>
      </c>
      <c r="X37" s="4">
        <f>F37/$T$37*100</f>
        <v>0</v>
      </c>
      <c r="Y37" s="48">
        <f>G37/$T$37*100</f>
        <v>48.101746473966465</v>
      </c>
      <c r="AC37" s="14"/>
    </row>
    <row r="38" spans="1:29" s="106" customFormat="1" ht="16" thickBot="1" x14ac:dyDescent="0.25">
      <c r="A38" s="111" t="s">
        <v>104</v>
      </c>
      <c r="B38" s="99" t="s">
        <v>35</v>
      </c>
      <c r="C38" s="100">
        <v>99.747880680763927</v>
      </c>
      <c r="D38" s="101">
        <v>1481262</v>
      </c>
      <c r="E38" s="102">
        <v>26556</v>
      </c>
      <c r="F38" s="102"/>
      <c r="G38" s="102">
        <v>1551287</v>
      </c>
      <c r="H38" s="102"/>
      <c r="I38" s="102"/>
      <c r="J38" s="102"/>
      <c r="K38" s="103"/>
      <c r="L38" s="103">
        <f t="shared" si="0"/>
        <v>14850.059869850014</v>
      </c>
      <c r="M38" s="103">
        <f t="shared" si="1"/>
        <v>266.23122034031587</v>
      </c>
      <c r="N38" s="103">
        <f t="shared" si="2"/>
        <v>0</v>
      </c>
      <c r="O38" s="104">
        <f t="shared" si="3"/>
        <v>15552.079797713044</v>
      </c>
      <c r="P38" s="103"/>
      <c r="Q38" s="103"/>
      <c r="R38" s="103"/>
      <c r="S38" s="103"/>
      <c r="T38" s="99">
        <f t="shared" si="4"/>
        <v>3059105</v>
      </c>
      <c r="U38" s="105">
        <f t="shared" si="5"/>
        <v>30668.370887903373</v>
      </c>
      <c r="V38" s="100">
        <f>D38/$T$38*100</f>
        <v>48.421417375343438</v>
      </c>
      <c r="W38" s="106">
        <f>E38/$T$38*100</f>
        <v>0.86809704145493527</v>
      </c>
      <c r="X38" s="106">
        <f>F38/$T$38*100</f>
        <v>0</v>
      </c>
      <c r="Y38" s="107">
        <f>G38/$T$38*100</f>
        <v>50.710485583201624</v>
      </c>
      <c r="AC38" s="108"/>
    </row>
  </sheetData>
  <mergeCells count="7">
    <mergeCell ref="V1:AC1"/>
    <mergeCell ref="U1:U2"/>
    <mergeCell ref="A1:B2"/>
    <mergeCell ref="C1:C2"/>
    <mergeCell ref="D1:K1"/>
    <mergeCell ref="L1:S1"/>
    <mergeCell ref="T1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8"/>
  <sheetViews>
    <sheetView showGridLines="0" workbookViewId="0">
      <pane xSplit="2" topLeftCell="C1" activePane="topRight" state="frozen"/>
      <selection pane="topRight" activeCell="A3" sqref="A3:A38"/>
    </sheetView>
  </sheetViews>
  <sheetFormatPr baseColWidth="10" defaultColWidth="8.6640625" defaultRowHeight="15" x14ac:dyDescent="0.2"/>
  <cols>
    <col min="1" max="1" width="21.33203125" style="50" bestFit="1" customWidth="1"/>
    <col min="2" max="2" width="9.33203125" style="4" bestFit="1" customWidth="1"/>
    <col min="3" max="3" width="6.83203125" style="4" bestFit="1" customWidth="1"/>
    <col min="4" max="5" width="8.33203125" style="4" bestFit="1" customWidth="1"/>
    <col min="6" max="6" width="4.5" style="4" bestFit="1" customWidth="1"/>
    <col min="7" max="7" width="8.33203125" style="4" bestFit="1" customWidth="1"/>
    <col min="8" max="11" width="4.5" style="4" bestFit="1" customWidth="1"/>
    <col min="12" max="15" width="8.33203125" style="4" bestFit="1" customWidth="1"/>
    <col min="16" max="19" width="4.5" style="4" bestFit="1" customWidth="1"/>
    <col min="20" max="20" width="14.1640625" style="4" bestFit="1" customWidth="1"/>
    <col min="21" max="21" width="21.6640625" style="4" bestFit="1" customWidth="1"/>
    <col min="22" max="22" width="5.33203125" style="4" bestFit="1" customWidth="1"/>
    <col min="23" max="24" width="4.5" style="4" bestFit="1" customWidth="1"/>
    <col min="25" max="25" width="5.33203125" style="4" bestFit="1" customWidth="1"/>
    <col min="26" max="29" width="4.5" style="4" bestFit="1" customWidth="1"/>
    <col min="30" max="16384" width="8.6640625" style="4"/>
  </cols>
  <sheetData>
    <row r="1" spans="1:29" x14ac:dyDescent="0.2">
      <c r="A1" s="121" t="s">
        <v>51</v>
      </c>
      <c r="B1" s="122"/>
      <c r="C1" s="125" t="s">
        <v>48</v>
      </c>
      <c r="D1" s="127" t="s">
        <v>46</v>
      </c>
      <c r="E1" s="127"/>
      <c r="F1" s="127"/>
      <c r="G1" s="127"/>
      <c r="H1" s="127"/>
      <c r="I1" s="127"/>
      <c r="J1" s="127"/>
      <c r="K1" s="127"/>
      <c r="L1" s="128" t="s">
        <v>49</v>
      </c>
      <c r="M1" s="129"/>
      <c r="N1" s="129"/>
      <c r="O1" s="129"/>
      <c r="P1" s="129"/>
      <c r="Q1" s="129"/>
      <c r="R1" s="129"/>
      <c r="S1" s="130"/>
      <c r="T1" s="119" t="s">
        <v>45</v>
      </c>
      <c r="U1" s="119" t="s">
        <v>141</v>
      </c>
      <c r="V1" s="117" t="s">
        <v>47</v>
      </c>
      <c r="W1" s="117"/>
      <c r="X1" s="117"/>
      <c r="Y1" s="117"/>
      <c r="Z1" s="117"/>
      <c r="AA1" s="117"/>
      <c r="AB1" s="117"/>
      <c r="AC1" s="118"/>
    </row>
    <row r="2" spans="1:29" x14ac:dyDescent="0.2">
      <c r="A2" s="123"/>
      <c r="B2" s="124"/>
      <c r="C2" s="126"/>
      <c r="D2" s="5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7" t="s">
        <v>43</v>
      </c>
      <c r="L2" s="5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7" t="s">
        <v>43</v>
      </c>
      <c r="T2" s="120"/>
      <c r="U2" s="120"/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  <c r="AB2" s="6" t="s">
        <v>42</v>
      </c>
      <c r="AC2" s="7" t="s">
        <v>43</v>
      </c>
    </row>
    <row r="3" spans="1:29" x14ac:dyDescent="0.2">
      <c r="A3" s="1" t="s">
        <v>106</v>
      </c>
      <c r="B3" s="8" t="s">
        <v>0</v>
      </c>
      <c r="C3" s="13">
        <v>151.61856590318203</v>
      </c>
      <c r="D3" s="25">
        <v>8679045</v>
      </c>
      <c r="E3" s="26">
        <v>191531</v>
      </c>
      <c r="F3" s="26"/>
      <c r="G3" s="26">
        <v>16419</v>
      </c>
      <c r="H3" s="26"/>
      <c r="I3" s="26"/>
      <c r="J3" s="26"/>
      <c r="K3" s="27"/>
      <c r="L3" s="28">
        <f t="shared" ref="L3:L38" si="0">D3/$C3</f>
        <v>57242.62690587718</v>
      </c>
      <c r="M3" s="28">
        <f t="shared" ref="M3:M38" si="1">E3/$C3</f>
        <v>1263.2423929026249</v>
      </c>
      <c r="N3" s="28">
        <f t="shared" ref="N3:N38" si="2">F3/$C3</f>
        <v>0</v>
      </c>
      <c r="O3" s="42">
        <f t="shared" ref="O3:O38" si="3">G3/$C3</f>
        <v>108.29148727395669</v>
      </c>
      <c r="P3" s="28"/>
      <c r="Q3" s="28"/>
      <c r="R3" s="28"/>
      <c r="S3" s="28"/>
      <c r="T3" s="8">
        <f>SUM(D3:K3)</f>
        <v>8886995</v>
      </c>
      <c r="U3" s="43">
        <f>SUM(L3:S3)</f>
        <v>58614.160786053762</v>
      </c>
      <c r="V3" s="10">
        <f>D3/$T$3*100</f>
        <v>97.66006394737478</v>
      </c>
      <c r="W3" s="11">
        <f>E3/$T$3*100</f>
        <v>2.1551829386648693</v>
      </c>
      <c r="X3" s="11">
        <f>F3/$T$3*100</f>
        <v>0</v>
      </c>
      <c r="Y3" s="47">
        <f>G3/$T$3*100</f>
        <v>0.18475311396034319</v>
      </c>
      <c r="Z3" s="11"/>
      <c r="AA3" s="11"/>
      <c r="AB3" s="11"/>
      <c r="AC3" s="12"/>
    </row>
    <row r="4" spans="1:29" x14ac:dyDescent="0.2">
      <c r="A4" s="1" t="s">
        <v>108</v>
      </c>
      <c r="B4" s="8" t="s">
        <v>1</v>
      </c>
      <c r="C4" s="13">
        <v>144.60827361219867</v>
      </c>
      <c r="D4" s="29">
        <v>8578236</v>
      </c>
      <c r="E4" s="30">
        <v>193586</v>
      </c>
      <c r="F4" s="30"/>
      <c r="G4" s="30"/>
      <c r="H4" s="30"/>
      <c r="I4" s="30"/>
      <c r="J4" s="30"/>
      <c r="K4" s="28"/>
      <c r="L4" s="28">
        <f t="shared" si="0"/>
        <v>59320.506259583533</v>
      </c>
      <c r="M4" s="28">
        <f t="shared" si="1"/>
        <v>1338.6924217015874</v>
      </c>
      <c r="N4" s="28">
        <f t="shared" si="2"/>
        <v>0</v>
      </c>
      <c r="O4" s="42">
        <f t="shared" si="3"/>
        <v>0</v>
      </c>
      <c r="P4" s="28"/>
      <c r="Q4" s="28"/>
      <c r="R4" s="28"/>
      <c r="S4" s="28"/>
      <c r="T4" s="8">
        <f t="shared" ref="T4:T38" si="4">SUM(D4:K4)</f>
        <v>8771822</v>
      </c>
      <c r="U4" s="43">
        <f t="shared" ref="U4:U38" si="5">SUM(L4:S4)</f>
        <v>60659.198681285117</v>
      </c>
      <c r="V4" s="13">
        <f>D4/$T$4*100</f>
        <v>97.793092472692678</v>
      </c>
      <c r="W4" s="4">
        <f>E4/$T$4*100</f>
        <v>2.2069075273073255</v>
      </c>
      <c r="X4" s="4">
        <f>F4/$T$4*100</f>
        <v>0</v>
      </c>
      <c r="Y4" s="48">
        <f>G4/$T$4*100</f>
        <v>0</v>
      </c>
      <c r="AC4" s="14"/>
    </row>
    <row r="5" spans="1:29" ht="16" x14ac:dyDescent="0.2">
      <c r="A5" s="52" t="s">
        <v>110</v>
      </c>
      <c r="B5" s="8" t="s">
        <v>2</v>
      </c>
      <c r="C5" s="13">
        <v>126.18510720293932</v>
      </c>
      <c r="D5" s="29">
        <v>11145485</v>
      </c>
      <c r="E5" s="30">
        <v>240110</v>
      </c>
      <c r="F5" s="30"/>
      <c r="G5" s="30"/>
      <c r="H5" s="30"/>
      <c r="I5" s="30"/>
      <c r="J5" s="30"/>
      <c r="K5" s="28"/>
      <c r="L5" s="28">
        <f t="shared" si="0"/>
        <v>88326.469319989454</v>
      </c>
      <c r="M5" s="28">
        <f t="shared" si="1"/>
        <v>1902.8394500932591</v>
      </c>
      <c r="N5" s="28">
        <f t="shared" si="2"/>
        <v>0</v>
      </c>
      <c r="O5" s="42">
        <f t="shared" si="3"/>
        <v>0</v>
      </c>
      <c r="P5" s="28"/>
      <c r="Q5" s="28"/>
      <c r="R5" s="28"/>
      <c r="S5" s="28"/>
      <c r="T5" s="8">
        <f t="shared" si="4"/>
        <v>11385595</v>
      </c>
      <c r="U5" s="43">
        <f t="shared" si="5"/>
        <v>90229.308770082716</v>
      </c>
      <c r="V5" s="13">
        <f>D5/$T$5*100</f>
        <v>97.891107140206543</v>
      </c>
      <c r="W5" s="4">
        <f>E5/$T$5*100</f>
        <v>2.1088928597934498</v>
      </c>
      <c r="X5" s="4">
        <f>F5/$T$5*100</f>
        <v>0</v>
      </c>
      <c r="Y5" s="48">
        <f>G5/$T$5*100</f>
        <v>0</v>
      </c>
      <c r="AC5" s="14"/>
    </row>
    <row r="6" spans="1:29" ht="16" x14ac:dyDescent="0.2">
      <c r="A6" s="52" t="s">
        <v>112</v>
      </c>
      <c r="B6" s="8" t="s">
        <v>3</v>
      </c>
      <c r="C6" s="13">
        <v>139.22341121667353</v>
      </c>
      <c r="D6" s="29">
        <v>633058</v>
      </c>
      <c r="E6" s="30">
        <v>16456</v>
      </c>
      <c r="F6" s="30"/>
      <c r="G6" s="30">
        <v>6907870</v>
      </c>
      <c r="H6" s="30"/>
      <c r="I6" s="30"/>
      <c r="J6" s="30"/>
      <c r="K6" s="28"/>
      <c r="L6" s="28">
        <f t="shared" si="0"/>
        <v>4547.065715943213</v>
      </c>
      <c r="M6" s="28">
        <f t="shared" si="1"/>
        <v>118.19851170281636</v>
      </c>
      <c r="N6" s="28">
        <f t="shared" si="2"/>
        <v>0</v>
      </c>
      <c r="O6" s="42">
        <f t="shared" si="3"/>
        <v>49617.158060071342</v>
      </c>
      <c r="P6" s="28"/>
      <c r="Q6" s="28"/>
      <c r="R6" s="28"/>
      <c r="S6" s="28"/>
      <c r="T6" s="8">
        <f t="shared" si="4"/>
        <v>7557384</v>
      </c>
      <c r="U6" s="43">
        <f t="shared" si="5"/>
        <v>54282.422287717374</v>
      </c>
      <c r="V6" s="13">
        <f>D6/$T$6*100</f>
        <v>8.3766816665661032</v>
      </c>
      <c r="W6" s="4">
        <f>E6/$T$6*100</f>
        <v>0.21774730515215318</v>
      </c>
      <c r="X6" s="4">
        <f>F6/$T$6*100</f>
        <v>0</v>
      </c>
      <c r="Y6" s="48">
        <f>G6/$T$6*100</f>
        <v>91.405571028281742</v>
      </c>
      <c r="AC6" s="14"/>
    </row>
    <row r="7" spans="1:29" ht="16" x14ac:dyDescent="0.2">
      <c r="A7" s="52" t="s">
        <v>114</v>
      </c>
      <c r="B7" s="8" t="s">
        <v>4</v>
      </c>
      <c r="C7" s="13">
        <v>151.90975415986941</v>
      </c>
      <c r="D7" s="29">
        <v>826823</v>
      </c>
      <c r="E7" s="30">
        <v>11535</v>
      </c>
      <c r="F7" s="30"/>
      <c r="G7" s="30">
        <v>8567591</v>
      </c>
      <c r="H7" s="30"/>
      <c r="I7" s="30"/>
      <c r="J7" s="30"/>
      <c r="K7" s="28"/>
      <c r="L7" s="28">
        <f t="shared" si="0"/>
        <v>5442.8565471171378</v>
      </c>
      <c r="M7" s="28">
        <f t="shared" si="1"/>
        <v>75.933241178578939</v>
      </c>
      <c r="N7" s="28">
        <f t="shared" si="2"/>
        <v>0</v>
      </c>
      <c r="O7" s="42">
        <f t="shared" si="3"/>
        <v>56399.215754002806</v>
      </c>
      <c r="P7" s="28"/>
      <c r="Q7" s="28"/>
      <c r="R7" s="28"/>
      <c r="S7" s="28"/>
      <c r="T7" s="8">
        <f t="shared" si="4"/>
        <v>9405949</v>
      </c>
      <c r="U7" s="43">
        <f t="shared" si="5"/>
        <v>61918.005542298524</v>
      </c>
      <c r="V7" s="13">
        <f>D7/$T$7*100</f>
        <v>8.7904261441349512</v>
      </c>
      <c r="W7" s="4">
        <f>E7/$T$7*100</f>
        <v>0.12263515356079435</v>
      </c>
      <c r="X7" s="4">
        <f>F7/$T$7*100</f>
        <v>0</v>
      </c>
      <c r="Y7" s="48">
        <f>G7/$T$7*100</f>
        <v>91.086938702304252</v>
      </c>
      <c r="AC7" s="14"/>
    </row>
    <row r="8" spans="1:29" ht="17" thickBot="1" x14ac:dyDescent="0.25">
      <c r="A8" s="52" t="s">
        <v>116</v>
      </c>
      <c r="B8" s="8" t="s">
        <v>5</v>
      </c>
      <c r="C8" s="13">
        <v>108.99908875208385</v>
      </c>
      <c r="D8" s="29">
        <v>830271</v>
      </c>
      <c r="E8" s="30">
        <v>28632</v>
      </c>
      <c r="F8" s="30"/>
      <c r="G8" s="30">
        <v>10322026</v>
      </c>
      <c r="H8" s="30"/>
      <c r="I8" s="30"/>
      <c r="J8" s="30"/>
      <c r="K8" s="28"/>
      <c r="L8" s="28">
        <f t="shared" si="0"/>
        <v>7617.2288182008024</v>
      </c>
      <c r="M8" s="28">
        <f t="shared" si="1"/>
        <v>262.68109511560124</v>
      </c>
      <c r="N8" s="28">
        <f t="shared" si="2"/>
        <v>0</v>
      </c>
      <c r="O8" s="42">
        <f t="shared" si="3"/>
        <v>94698.277923013025</v>
      </c>
      <c r="P8" s="28"/>
      <c r="Q8" s="28"/>
      <c r="R8" s="28"/>
      <c r="S8" s="28"/>
      <c r="T8" s="8">
        <f t="shared" si="4"/>
        <v>11180929</v>
      </c>
      <c r="U8" s="43">
        <f t="shared" si="5"/>
        <v>102578.18783632942</v>
      </c>
      <c r="V8" s="13">
        <f>D8/$T$8*100</f>
        <v>7.4257783051837638</v>
      </c>
      <c r="W8" s="4">
        <f>E8/$T$8*100</f>
        <v>0.25607890006277656</v>
      </c>
      <c r="X8" s="4">
        <f>F8/$T$8*100</f>
        <v>0</v>
      </c>
      <c r="Y8" s="48">
        <f>G8/$T$8*100</f>
        <v>92.318142794753456</v>
      </c>
      <c r="AC8" s="14"/>
    </row>
    <row r="9" spans="1:29" s="95" customFormat="1" x14ac:dyDescent="0.2">
      <c r="A9" s="109" t="s">
        <v>118</v>
      </c>
      <c r="B9" s="88" t="s">
        <v>6</v>
      </c>
      <c r="C9" s="89">
        <v>156.73380954252787</v>
      </c>
      <c r="D9" s="90">
        <v>892549</v>
      </c>
      <c r="E9" s="91">
        <v>8774</v>
      </c>
      <c r="F9" s="91"/>
      <c r="G9" s="91">
        <v>8476619</v>
      </c>
      <c r="H9" s="91"/>
      <c r="I9" s="91"/>
      <c r="J9" s="91"/>
      <c r="K9" s="92"/>
      <c r="L9" s="92">
        <f t="shared" si="0"/>
        <v>5694.6806984731484</v>
      </c>
      <c r="M9" s="92">
        <f t="shared" si="1"/>
        <v>55.98026377084441</v>
      </c>
      <c r="N9" s="92">
        <f t="shared" si="2"/>
        <v>0</v>
      </c>
      <c r="O9" s="93">
        <f t="shared" si="3"/>
        <v>54082.900331086319</v>
      </c>
      <c r="P9" s="92"/>
      <c r="Q9" s="92"/>
      <c r="R9" s="92"/>
      <c r="S9" s="92"/>
      <c r="T9" s="88">
        <f t="shared" si="4"/>
        <v>9377942</v>
      </c>
      <c r="U9" s="94">
        <f t="shared" si="5"/>
        <v>59833.561293330313</v>
      </c>
      <c r="V9" s="89">
        <f>D9/$T$9*100</f>
        <v>9.5175359369891606</v>
      </c>
      <c r="W9" s="95">
        <f>E9/$T$9*100</f>
        <v>9.3559972966350186E-2</v>
      </c>
      <c r="X9" s="95">
        <f>F9/$T$9*100</f>
        <v>0</v>
      </c>
      <c r="Y9" s="96">
        <f>G9/$T$9*100</f>
        <v>90.388904090044491</v>
      </c>
      <c r="AC9" s="97"/>
    </row>
    <row r="10" spans="1:29" x14ac:dyDescent="0.2">
      <c r="A10" s="110" t="s">
        <v>120</v>
      </c>
      <c r="B10" s="8" t="s">
        <v>7</v>
      </c>
      <c r="C10" s="13">
        <v>145.0979296286427</v>
      </c>
      <c r="D10" s="29">
        <v>901729</v>
      </c>
      <c r="E10" s="30">
        <v>27138</v>
      </c>
      <c r="F10" s="30"/>
      <c r="G10" s="30">
        <v>8773314</v>
      </c>
      <c r="H10" s="30"/>
      <c r="I10" s="30"/>
      <c r="J10" s="30"/>
      <c r="K10" s="28"/>
      <c r="L10" s="28">
        <f t="shared" si="0"/>
        <v>6214.6234774530949</v>
      </c>
      <c r="M10" s="28">
        <f t="shared" si="1"/>
        <v>187.03230342056438</v>
      </c>
      <c r="N10" s="28">
        <f t="shared" si="2"/>
        <v>0</v>
      </c>
      <c r="O10" s="42">
        <f t="shared" si="3"/>
        <v>60464.777288373698</v>
      </c>
      <c r="P10" s="28"/>
      <c r="Q10" s="28"/>
      <c r="R10" s="28"/>
      <c r="S10" s="28"/>
      <c r="T10" s="8">
        <f t="shared" si="4"/>
        <v>9702181</v>
      </c>
      <c r="U10" s="43">
        <f t="shared" si="5"/>
        <v>66866.43306924736</v>
      </c>
      <c r="V10" s="13">
        <f>D10/$T$10*100</f>
        <v>9.2940855257183923</v>
      </c>
      <c r="W10" s="4">
        <f>E10/$T$10*100</f>
        <v>0.27971030431198923</v>
      </c>
      <c r="X10" s="4">
        <f>F10/$T$10*100</f>
        <v>0</v>
      </c>
      <c r="Y10" s="48">
        <f>G10/$T$10*100</f>
        <v>90.426204169969608</v>
      </c>
      <c r="AC10" s="14"/>
    </row>
    <row r="11" spans="1:29" s="106" customFormat="1" ht="17" thickBot="1" x14ac:dyDescent="0.25">
      <c r="A11" s="98" t="s">
        <v>122</v>
      </c>
      <c r="B11" s="99" t="s">
        <v>8</v>
      </c>
      <c r="C11" s="100">
        <v>127.74830304604941</v>
      </c>
      <c r="D11" s="101">
        <v>1067930</v>
      </c>
      <c r="E11" s="102">
        <v>25100</v>
      </c>
      <c r="F11" s="102"/>
      <c r="G11" s="102">
        <v>12017217</v>
      </c>
      <c r="H11" s="102"/>
      <c r="I11" s="102"/>
      <c r="J11" s="102"/>
      <c r="K11" s="103"/>
      <c r="L11" s="103">
        <f t="shared" si="0"/>
        <v>8359.6413771151492</v>
      </c>
      <c r="M11" s="103">
        <f t="shared" si="1"/>
        <v>196.48010503084495</v>
      </c>
      <c r="N11" s="103">
        <f t="shared" si="2"/>
        <v>0</v>
      </c>
      <c r="O11" s="104">
        <f t="shared" si="3"/>
        <v>94069.484395954409</v>
      </c>
      <c r="P11" s="103"/>
      <c r="Q11" s="103"/>
      <c r="R11" s="103"/>
      <c r="S11" s="103"/>
      <c r="T11" s="99">
        <f t="shared" si="4"/>
        <v>13110247</v>
      </c>
      <c r="U11" s="105">
        <f t="shared" si="5"/>
        <v>102625.60587810041</v>
      </c>
      <c r="V11" s="100">
        <f>D11/$T$11*100</f>
        <v>8.1457656747428171</v>
      </c>
      <c r="W11" s="106">
        <f>E11/$T$11*100</f>
        <v>0.19145329603629893</v>
      </c>
      <c r="X11" s="106">
        <f>F11/$T$11*100</f>
        <v>0</v>
      </c>
      <c r="Y11" s="107">
        <f>G11/$T$11*100</f>
        <v>91.662781029220881</v>
      </c>
      <c r="AC11" s="108"/>
    </row>
    <row r="12" spans="1:29" x14ac:dyDescent="0.2">
      <c r="A12" s="1" t="s">
        <v>124</v>
      </c>
      <c r="B12" s="8" t="s">
        <v>9</v>
      </c>
      <c r="C12" s="13">
        <v>130.41766483297067</v>
      </c>
      <c r="D12" s="29">
        <v>6913103</v>
      </c>
      <c r="E12" s="30">
        <v>141646</v>
      </c>
      <c r="F12" s="30"/>
      <c r="G12" s="30"/>
      <c r="H12" s="30"/>
      <c r="I12" s="30"/>
      <c r="J12" s="30"/>
      <c r="K12" s="28"/>
      <c r="L12" s="28">
        <f t="shared" si="0"/>
        <v>53007.412829035027</v>
      </c>
      <c r="M12" s="28">
        <f t="shared" si="1"/>
        <v>1086.0952017612778</v>
      </c>
      <c r="N12" s="28">
        <f t="shared" si="2"/>
        <v>0</v>
      </c>
      <c r="O12" s="42">
        <f t="shared" si="3"/>
        <v>0</v>
      </c>
      <c r="P12" s="28"/>
      <c r="Q12" s="28"/>
      <c r="R12" s="28"/>
      <c r="S12" s="28"/>
      <c r="T12" s="8">
        <f t="shared" si="4"/>
        <v>7054749</v>
      </c>
      <c r="U12" s="43">
        <f t="shared" si="5"/>
        <v>54093.508030796307</v>
      </c>
      <c r="V12" s="13">
        <f>D12/$T$12*100</f>
        <v>97.992189374845225</v>
      </c>
      <c r="W12" s="4">
        <f>E12/$T$12*100</f>
        <v>2.0078106251547716</v>
      </c>
      <c r="X12" s="4">
        <f>F12/$T$12*100</f>
        <v>0</v>
      </c>
      <c r="Y12" s="48">
        <f>G12/$T$12*100</f>
        <v>0</v>
      </c>
      <c r="AC12" s="14"/>
    </row>
    <row r="13" spans="1:29" x14ac:dyDescent="0.2">
      <c r="A13" s="1" t="s">
        <v>126</v>
      </c>
      <c r="B13" s="8" t="s">
        <v>10</v>
      </c>
      <c r="C13" s="13">
        <v>125.39322005484902</v>
      </c>
      <c r="D13" s="29">
        <v>3542065</v>
      </c>
      <c r="E13" s="30">
        <v>85396</v>
      </c>
      <c r="F13" s="30"/>
      <c r="G13" s="30"/>
      <c r="H13" s="30"/>
      <c r="I13" s="30"/>
      <c r="J13" s="30"/>
      <c r="K13" s="28"/>
      <c r="L13" s="28">
        <f t="shared" si="0"/>
        <v>28247.659629847956</v>
      </c>
      <c r="M13" s="28">
        <f t="shared" si="1"/>
        <v>681.02565643219316</v>
      </c>
      <c r="N13" s="28">
        <f t="shared" si="2"/>
        <v>0</v>
      </c>
      <c r="O13" s="42">
        <f t="shared" si="3"/>
        <v>0</v>
      </c>
      <c r="P13" s="28"/>
      <c r="Q13" s="28"/>
      <c r="R13" s="28"/>
      <c r="S13" s="28"/>
      <c r="T13" s="8">
        <f t="shared" si="4"/>
        <v>3627461</v>
      </c>
      <c r="U13" s="43">
        <f t="shared" si="5"/>
        <v>28928.68528628015</v>
      </c>
      <c r="V13" s="13">
        <f>D13/$T$13*100</f>
        <v>97.645846502553709</v>
      </c>
      <c r="W13" s="4">
        <f>E13/$T$13*100</f>
        <v>2.3541534974462852</v>
      </c>
      <c r="X13" s="4">
        <f>F13/$T$13*100</f>
        <v>0</v>
      </c>
      <c r="Y13" s="48">
        <f>G13/$T$13*100</f>
        <v>0</v>
      </c>
      <c r="AC13" s="14"/>
    </row>
    <row r="14" spans="1:29" x14ac:dyDescent="0.2">
      <c r="A14" s="1" t="s">
        <v>128</v>
      </c>
      <c r="B14" s="8" t="s">
        <v>11</v>
      </c>
      <c r="C14" s="13">
        <v>122.16499836554055</v>
      </c>
      <c r="D14" s="29">
        <v>5435294</v>
      </c>
      <c r="E14" s="30">
        <v>111234</v>
      </c>
      <c r="F14" s="30"/>
      <c r="G14" s="30">
        <v>15596</v>
      </c>
      <c r="H14" s="30"/>
      <c r="I14" s="30"/>
      <c r="J14" s="30"/>
      <c r="K14" s="28"/>
      <c r="L14" s="28">
        <f t="shared" si="0"/>
        <v>44491.417940649269</v>
      </c>
      <c r="M14" s="28">
        <f t="shared" si="1"/>
        <v>910.52266596989625</v>
      </c>
      <c r="N14" s="28">
        <f t="shared" si="2"/>
        <v>0</v>
      </c>
      <c r="O14" s="42">
        <f t="shared" si="3"/>
        <v>127.66340775721903</v>
      </c>
      <c r="P14" s="28"/>
      <c r="Q14" s="28"/>
      <c r="R14" s="28"/>
      <c r="S14" s="28"/>
      <c r="T14" s="8">
        <f t="shared" si="4"/>
        <v>5562124</v>
      </c>
      <c r="U14" s="43">
        <f t="shared" si="5"/>
        <v>45529.604014376382</v>
      </c>
      <c r="V14" s="13">
        <f>D14/$T$14*100</f>
        <v>97.719755978111948</v>
      </c>
      <c r="W14" s="4">
        <f>E14/$T$14*100</f>
        <v>1.9998475402562044</v>
      </c>
      <c r="X14" s="4">
        <f>F14/$T$14*100</f>
        <v>0</v>
      </c>
      <c r="Y14" s="48">
        <f>G14/$T$14*100</f>
        <v>0.28039648163183706</v>
      </c>
      <c r="AC14" s="14"/>
    </row>
    <row r="15" spans="1:29" x14ac:dyDescent="0.2">
      <c r="A15" s="1" t="s">
        <v>130</v>
      </c>
      <c r="B15" s="8" t="s">
        <v>12</v>
      </c>
      <c r="C15" s="13">
        <v>146.87068065753425</v>
      </c>
      <c r="D15" s="29">
        <v>343461</v>
      </c>
      <c r="E15" s="30"/>
      <c r="F15" s="30"/>
      <c r="G15" s="30">
        <v>2821497</v>
      </c>
      <c r="H15" s="30"/>
      <c r="I15" s="30"/>
      <c r="J15" s="30"/>
      <c r="K15" s="28"/>
      <c r="L15" s="28">
        <f t="shared" si="0"/>
        <v>2338.526644408119</v>
      </c>
      <c r="M15" s="28">
        <f t="shared" si="1"/>
        <v>0</v>
      </c>
      <c r="N15" s="28">
        <f t="shared" si="2"/>
        <v>0</v>
      </c>
      <c r="O15" s="42">
        <f t="shared" si="3"/>
        <v>19210.757295930467</v>
      </c>
      <c r="P15" s="28"/>
      <c r="Q15" s="28"/>
      <c r="R15" s="28"/>
      <c r="S15" s="28"/>
      <c r="T15" s="8">
        <f t="shared" si="4"/>
        <v>3164958</v>
      </c>
      <c r="U15" s="43">
        <f t="shared" si="5"/>
        <v>21549.283940338588</v>
      </c>
      <c r="V15" s="13">
        <f>D15/$T$15*100</f>
        <v>10.851992348713631</v>
      </c>
      <c r="W15" s="4">
        <f>E15/$T$15*100</f>
        <v>0</v>
      </c>
      <c r="X15" s="4">
        <f>F15/$T$15*100</f>
        <v>0</v>
      </c>
      <c r="Y15" s="48">
        <f>G15/$T$15*100</f>
        <v>89.148007651286363</v>
      </c>
      <c r="AC15" s="14"/>
    </row>
    <row r="16" spans="1:29" x14ac:dyDescent="0.2">
      <c r="A16" s="1" t="s">
        <v>132</v>
      </c>
      <c r="B16" s="8" t="s">
        <v>13</v>
      </c>
      <c r="C16" s="13">
        <v>130.89217923422584</v>
      </c>
      <c r="D16" s="29">
        <v>363757</v>
      </c>
      <c r="E16" s="30">
        <v>8046</v>
      </c>
      <c r="F16" s="30"/>
      <c r="G16" s="30">
        <v>2594750</v>
      </c>
      <c r="H16" s="30"/>
      <c r="I16" s="30"/>
      <c r="J16" s="30"/>
      <c r="K16" s="28"/>
      <c r="L16" s="28">
        <f t="shared" si="0"/>
        <v>2779.0583221100837</v>
      </c>
      <c r="M16" s="28">
        <f t="shared" si="1"/>
        <v>61.470441145318809</v>
      </c>
      <c r="N16" s="28">
        <f t="shared" si="2"/>
        <v>0</v>
      </c>
      <c r="O16" s="42">
        <f t="shared" si="3"/>
        <v>19823.567879917471</v>
      </c>
      <c r="P16" s="28"/>
      <c r="Q16" s="28"/>
      <c r="R16" s="28"/>
      <c r="S16" s="28"/>
      <c r="T16" s="8">
        <f t="shared" si="4"/>
        <v>2966553</v>
      </c>
      <c r="U16" s="43">
        <f t="shared" si="5"/>
        <v>22664.096643172874</v>
      </c>
      <c r="V16" s="13">
        <f>D16/$T$16*100</f>
        <v>12.261941721587311</v>
      </c>
      <c r="W16" s="4">
        <f>E16/$T$16*100</f>
        <v>0.27122387498217632</v>
      </c>
      <c r="X16" s="4">
        <f>F16/$T$16*100</f>
        <v>0</v>
      </c>
      <c r="Y16" s="48">
        <f>G16/$T$16*100</f>
        <v>87.466834403430511</v>
      </c>
      <c r="AC16" s="14"/>
    </row>
    <row r="17" spans="1:29" ht="16" thickBot="1" x14ac:dyDescent="0.25">
      <c r="A17" s="1" t="s">
        <v>134</v>
      </c>
      <c r="B17" s="8" t="s">
        <v>14</v>
      </c>
      <c r="C17" s="13">
        <v>68.818694063301194</v>
      </c>
      <c r="D17" s="29">
        <v>490342</v>
      </c>
      <c r="E17" s="30">
        <v>9594</v>
      </c>
      <c r="F17" s="30"/>
      <c r="G17" s="30">
        <v>4423978</v>
      </c>
      <c r="H17" s="30"/>
      <c r="I17" s="30"/>
      <c r="J17" s="30"/>
      <c r="K17" s="28"/>
      <c r="L17" s="28">
        <f t="shared" si="0"/>
        <v>7125.127941965462</v>
      </c>
      <c r="M17" s="28">
        <f t="shared" si="1"/>
        <v>139.40979454180274</v>
      </c>
      <c r="N17" s="28">
        <f t="shared" si="2"/>
        <v>0</v>
      </c>
      <c r="O17" s="42">
        <f t="shared" si="3"/>
        <v>64284.538673906136</v>
      </c>
      <c r="P17" s="28"/>
      <c r="Q17" s="28"/>
      <c r="R17" s="28"/>
      <c r="S17" s="28"/>
      <c r="T17" s="8">
        <f t="shared" si="4"/>
        <v>4923914</v>
      </c>
      <c r="U17" s="43">
        <f t="shared" si="5"/>
        <v>71549.0764104134</v>
      </c>
      <c r="V17" s="13">
        <f>D17/$T$17*100</f>
        <v>9.9583786394319631</v>
      </c>
      <c r="W17" s="4">
        <f>E17/$T$17*100</f>
        <v>0.19484499526189938</v>
      </c>
      <c r="X17" s="4">
        <f>F17/$T$17*100</f>
        <v>0</v>
      </c>
      <c r="Y17" s="48">
        <f>G17/$T$17*100</f>
        <v>89.846776365306141</v>
      </c>
      <c r="AC17" s="14"/>
    </row>
    <row r="18" spans="1:29" s="95" customFormat="1" x14ac:dyDescent="0.2">
      <c r="A18" s="109" t="s">
        <v>136</v>
      </c>
      <c r="B18" s="88" t="s">
        <v>15</v>
      </c>
      <c r="C18" s="89">
        <v>130.65055284958299</v>
      </c>
      <c r="D18" s="90">
        <v>706871</v>
      </c>
      <c r="E18" s="91">
        <v>10170</v>
      </c>
      <c r="F18" s="91"/>
      <c r="G18" s="91">
        <v>4432276</v>
      </c>
      <c r="H18" s="91"/>
      <c r="I18" s="91"/>
      <c r="J18" s="91"/>
      <c r="K18" s="92"/>
      <c r="L18" s="92">
        <f t="shared" si="0"/>
        <v>5410.3942507906213</v>
      </c>
      <c r="M18" s="92">
        <f t="shared" si="1"/>
        <v>77.841232036030078</v>
      </c>
      <c r="N18" s="92">
        <f t="shared" si="2"/>
        <v>0</v>
      </c>
      <c r="O18" s="93">
        <f t="shared" si="3"/>
        <v>33924.663182274067</v>
      </c>
      <c r="P18" s="92"/>
      <c r="Q18" s="92"/>
      <c r="R18" s="92"/>
      <c r="S18" s="92"/>
      <c r="T18" s="88">
        <f t="shared" si="4"/>
        <v>5149317</v>
      </c>
      <c r="U18" s="94">
        <f t="shared" si="5"/>
        <v>39412.898665100722</v>
      </c>
      <c r="V18" s="89">
        <f>D18/$T$18*100</f>
        <v>13.727471041305089</v>
      </c>
      <c r="W18" s="95">
        <f>E18/$T$18*100</f>
        <v>0.1975019211285691</v>
      </c>
      <c r="X18" s="95">
        <f>F18/$T$18*100</f>
        <v>0</v>
      </c>
      <c r="Y18" s="96">
        <f>G18/$T$18*100</f>
        <v>86.075027037566343</v>
      </c>
      <c r="AC18" s="97"/>
    </row>
    <row r="19" spans="1:29" x14ac:dyDescent="0.2">
      <c r="A19" s="110" t="s">
        <v>138</v>
      </c>
      <c r="B19" s="8" t="s">
        <v>16</v>
      </c>
      <c r="C19" s="13">
        <v>110.44600086309183</v>
      </c>
      <c r="D19" s="29">
        <v>469029</v>
      </c>
      <c r="E19" s="30"/>
      <c r="F19" s="30"/>
      <c r="G19" s="30">
        <v>2976441</v>
      </c>
      <c r="H19" s="30"/>
      <c r="I19" s="30"/>
      <c r="J19" s="30"/>
      <c r="K19" s="28"/>
      <c r="L19" s="28">
        <f t="shared" si="0"/>
        <v>4246.681603088603</v>
      </c>
      <c r="M19" s="28">
        <f t="shared" si="1"/>
        <v>0</v>
      </c>
      <c r="N19" s="28">
        <f t="shared" si="2"/>
        <v>0</v>
      </c>
      <c r="O19" s="42">
        <f t="shared" si="3"/>
        <v>26949.28722398539</v>
      </c>
      <c r="P19" s="28"/>
      <c r="Q19" s="28"/>
      <c r="R19" s="28"/>
      <c r="S19" s="28"/>
      <c r="T19" s="8">
        <f t="shared" si="4"/>
        <v>3445470</v>
      </c>
      <c r="U19" s="43">
        <f t="shared" si="5"/>
        <v>31195.968827073993</v>
      </c>
      <c r="V19" s="13">
        <f>D19/$T$19*100</f>
        <v>13.61291783123928</v>
      </c>
      <c r="W19" s="4">
        <f>E19/$T$19*100</f>
        <v>0</v>
      </c>
      <c r="X19" s="4">
        <f>F19/$T$19*100</f>
        <v>0</v>
      </c>
      <c r="Y19" s="48">
        <f>G19/$T$19*100</f>
        <v>86.387082168760713</v>
      </c>
      <c r="AC19" s="14"/>
    </row>
    <row r="20" spans="1:29" s="106" customFormat="1" ht="16" thickBot="1" x14ac:dyDescent="0.25">
      <c r="A20" s="111" t="s">
        <v>140</v>
      </c>
      <c r="B20" s="99" t="s">
        <v>17</v>
      </c>
      <c r="C20" s="100">
        <v>117.52188726819432</v>
      </c>
      <c r="D20" s="101">
        <v>610057</v>
      </c>
      <c r="E20" s="102">
        <v>24998</v>
      </c>
      <c r="F20" s="102"/>
      <c r="G20" s="102">
        <v>4696586</v>
      </c>
      <c r="H20" s="102"/>
      <c r="I20" s="102"/>
      <c r="J20" s="102"/>
      <c r="K20" s="103"/>
      <c r="L20" s="103">
        <f t="shared" si="0"/>
        <v>5191.0075151175988</v>
      </c>
      <c r="M20" s="103">
        <f t="shared" si="1"/>
        <v>212.70931382298662</v>
      </c>
      <c r="N20" s="103">
        <f t="shared" si="2"/>
        <v>0</v>
      </c>
      <c r="O20" s="104">
        <f t="shared" si="3"/>
        <v>39963.500494865402</v>
      </c>
      <c r="P20" s="103"/>
      <c r="Q20" s="103"/>
      <c r="R20" s="103"/>
      <c r="S20" s="103"/>
      <c r="T20" s="99">
        <f t="shared" si="4"/>
        <v>5331641</v>
      </c>
      <c r="U20" s="105">
        <f t="shared" si="5"/>
        <v>45367.217323805991</v>
      </c>
      <c r="V20" s="100">
        <f>D20/$T$20*100</f>
        <v>11.442199502929773</v>
      </c>
      <c r="W20" s="106">
        <f>E20/$T$20*100</f>
        <v>0.46886127554349594</v>
      </c>
      <c r="X20" s="106">
        <f>F20/$T$20*100</f>
        <v>0</v>
      </c>
      <c r="Y20" s="107">
        <f>G20/$T$20*100</f>
        <v>88.088939221526729</v>
      </c>
      <c r="AC20" s="108"/>
    </row>
    <row r="21" spans="1:29" x14ac:dyDescent="0.2">
      <c r="A21" s="51" t="s">
        <v>70</v>
      </c>
      <c r="B21" s="8" t="s">
        <v>18</v>
      </c>
      <c r="C21" s="13">
        <v>97.198118384657477</v>
      </c>
      <c r="D21" s="29">
        <v>17257274</v>
      </c>
      <c r="E21" s="30">
        <v>393688</v>
      </c>
      <c r="F21" s="30"/>
      <c r="G21" s="30">
        <v>16260</v>
      </c>
      <c r="H21" s="30"/>
      <c r="I21" s="30"/>
      <c r="J21" s="30"/>
      <c r="K21" s="28"/>
      <c r="L21" s="28">
        <f t="shared" si="0"/>
        <v>177547.40818855219</v>
      </c>
      <c r="M21" s="28">
        <f t="shared" si="1"/>
        <v>4050.3664735771558</v>
      </c>
      <c r="N21" s="28">
        <f t="shared" si="2"/>
        <v>0</v>
      </c>
      <c r="O21" s="42">
        <f t="shared" si="3"/>
        <v>167.28718899322445</v>
      </c>
      <c r="P21" s="28"/>
      <c r="Q21" s="28"/>
      <c r="R21" s="28"/>
      <c r="S21" s="28"/>
      <c r="T21" s="8">
        <f t="shared" si="4"/>
        <v>17667222</v>
      </c>
      <c r="U21" s="43">
        <f t="shared" si="5"/>
        <v>181765.06185112256</v>
      </c>
      <c r="V21" s="13">
        <f>D21/$T$21*100</f>
        <v>97.679612561612686</v>
      </c>
      <c r="W21" s="4">
        <f>E21/$T$21*100</f>
        <v>2.2283525955580341</v>
      </c>
      <c r="X21" s="4">
        <f>F21/$T$21*100</f>
        <v>0</v>
      </c>
      <c r="Y21" s="48">
        <f>G21/$T$21*100</f>
        <v>9.2034842829280122E-2</v>
      </c>
      <c r="AC21" s="14"/>
    </row>
    <row r="22" spans="1:29" x14ac:dyDescent="0.2">
      <c r="A22" s="1" t="s">
        <v>72</v>
      </c>
      <c r="B22" s="8" t="s">
        <v>19</v>
      </c>
      <c r="C22" s="13">
        <v>127.31000379392765</v>
      </c>
      <c r="D22" s="29">
        <v>18732869</v>
      </c>
      <c r="E22" s="30">
        <v>417645</v>
      </c>
      <c r="F22" s="30"/>
      <c r="G22" s="30">
        <v>6487</v>
      </c>
      <c r="H22" s="30"/>
      <c r="I22" s="30"/>
      <c r="J22" s="30"/>
      <c r="K22" s="28"/>
      <c r="L22" s="28">
        <f t="shared" si="0"/>
        <v>147143.73137811114</v>
      </c>
      <c r="M22" s="28">
        <f t="shared" si="1"/>
        <v>3280.5356024969387</v>
      </c>
      <c r="N22" s="28">
        <f t="shared" si="2"/>
        <v>0</v>
      </c>
      <c r="O22" s="42">
        <f t="shared" si="3"/>
        <v>50.954361846538667</v>
      </c>
      <c r="P22" s="28"/>
      <c r="Q22" s="28"/>
      <c r="R22" s="28"/>
      <c r="S22" s="28"/>
      <c r="T22" s="8">
        <f t="shared" si="4"/>
        <v>19157001</v>
      </c>
      <c r="U22" s="43">
        <f t="shared" si="5"/>
        <v>150475.22134245461</v>
      </c>
      <c r="V22" s="13">
        <f>D22/$T$22*100</f>
        <v>97.786020891265807</v>
      </c>
      <c r="W22" s="4">
        <f>E22/$T$22*100</f>
        <v>2.1801168147352499</v>
      </c>
      <c r="X22" s="4">
        <f>F22/$T$22*100</f>
        <v>0</v>
      </c>
      <c r="Y22" s="48">
        <f>G22/$T$22*100</f>
        <v>3.3862293998940647E-2</v>
      </c>
      <c r="AC22" s="14"/>
    </row>
    <row r="23" spans="1:29" ht="16" x14ac:dyDescent="0.2">
      <c r="A23" s="52" t="s">
        <v>74</v>
      </c>
      <c r="B23" s="8" t="s">
        <v>20</v>
      </c>
      <c r="C23" s="13">
        <v>143.4385517594913</v>
      </c>
      <c r="D23" s="29">
        <v>24147998</v>
      </c>
      <c r="E23" s="30">
        <v>514461</v>
      </c>
      <c r="F23" s="30"/>
      <c r="G23" s="30">
        <v>10577</v>
      </c>
      <c r="H23" s="30"/>
      <c r="I23" s="30"/>
      <c r="J23" s="30"/>
      <c r="K23" s="28"/>
      <c r="L23" s="28">
        <f t="shared" si="0"/>
        <v>168350.8213363018</v>
      </c>
      <c r="M23" s="28">
        <f t="shared" si="1"/>
        <v>3586.6299100859278</v>
      </c>
      <c r="N23" s="28">
        <f t="shared" si="2"/>
        <v>0</v>
      </c>
      <c r="O23" s="42">
        <f t="shared" si="3"/>
        <v>73.738892858698435</v>
      </c>
      <c r="P23" s="28"/>
      <c r="Q23" s="28"/>
      <c r="R23" s="28"/>
      <c r="S23" s="28"/>
      <c r="T23" s="8">
        <f t="shared" si="4"/>
        <v>24673036</v>
      </c>
      <c r="U23" s="43">
        <f t="shared" si="5"/>
        <v>172011.19013924644</v>
      </c>
      <c r="V23" s="13">
        <f>D23/$T$23*100</f>
        <v>97.8720170472738</v>
      </c>
      <c r="W23" s="4">
        <f>E23/$T$23*100</f>
        <v>2.0851142923797461</v>
      </c>
      <c r="X23" s="4">
        <f>F23/$T$23*100</f>
        <v>0</v>
      </c>
      <c r="Y23" s="48">
        <f>G23/$T$23*100</f>
        <v>4.2868660346460807E-2</v>
      </c>
      <c r="AC23" s="14"/>
    </row>
    <row r="24" spans="1:29" ht="16" x14ac:dyDescent="0.2">
      <c r="A24" s="52" t="s">
        <v>76</v>
      </c>
      <c r="B24" s="8" t="s">
        <v>21</v>
      </c>
      <c r="C24" s="13">
        <v>110.74207412094421</v>
      </c>
      <c r="D24" s="29">
        <v>1404950</v>
      </c>
      <c r="E24" s="30">
        <v>17841</v>
      </c>
      <c r="F24" s="30"/>
      <c r="G24" s="30">
        <v>16014188</v>
      </c>
      <c r="H24" s="30"/>
      <c r="I24" s="30"/>
      <c r="J24" s="30"/>
      <c r="K24" s="28"/>
      <c r="L24" s="28">
        <f t="shared" si="0"/>
        <v>12686.686710108199</v>
      </c>
      <c r="M24" s="28">
        <f t="shared" si="1"/>
        <v>161.1040802840246</v>
      </c>
      <c r="N24" s="28">
        <f t="shared" si="2"/>
        <v>0</v>
      </c>
      <c r="O24" s="42">
        <f t="shared" si="3"/>
        <v>144607.98325404761</v>
      </c>
      <c r="P24" s="28"/>
      <c r="Q24" s="28"/>
      <c r="R24" s="28"/>
      <c r="S24" s="28"/>
      <c r="T24" s="8">
        <f t="shared" si="4"/>
        <v>17436979</v>
      </c>
      <c r="U24" s="43">
        <f t="shared" si="5"/>
        <v>157455.77404443984</v>
      </c>
      <c r="V24" s="13">
        <f>D24/$T$24*100</f>
        <v>8.0573016690563204</v>
      </c>
      <c r="W24" s="4">
        <f>E24/$T$24*100</f>
        <v>0.10231703553694707</v>
      </c>
      <c r="X24" s="4">
        <f>F24/$T$24*100</f>
        <v>0</v>
      </c>
      <c r="Y24" s="48">
        <f>G24/$T$24*100</f>
        <v>91.840381295406743</v>
      </c>
      <c r="AC24" s="14"/>
    </row>
    <row r="25" spans="1:29" ht="16" x14ac:dyDescent="0.2">
      <c r="A25" s="52" t="s">
        <v>78</v>
      </c>
      <c r="B25" s="8" t="s">
        <v>22</v>
      </c>
      <c r="C25" s="13">
        <v>137.29877325454129</v>
      </c>
      <c r="D25" s="29">
        <v>2019579</v>
      </c>
      <c r="E25" s="30">
        <v>39584</v>
      </c>
      <c r="F25" s="30"/>
      <c r="G25" s="30">
        <v>20274448</v>
      </c>
      <c r="H25" s="30"/>
      <c r="I25" s="30"/>
      <c r="J25" s="30"/>
      <c r="K25" s="28"/>
      <c r="L25" s="28">
        <f t="shared" si="0"/>
        <v>14709.373959633689</v>
      </c>
      <c r="M25" s="28">
        <f t="shared" si="1"/>
        <v>288.30556210880582</v>
      </c>
      <c r="N25" s="28">
        <f t="shared" si="2"/>
        <v>0</v>
      </c>
      <c r="O25" s="42">
        <f t="shared" si="3"/>
        <v>147666.63619355683</v>
      </c>
      <c r="P25" s="28"/>
      <c r="Q25" s="28"/>
      <c r="R25" s="28"/>
      <c r="S25" s="28"/>
      <c r="T25" s="8">
        <f t="shared" si="4"/>
        <v>22333611</v>
      </c>
      <c r="U25" s="43">
        <f t="shared" si="5"/>
        <v>162664.31571529934</v>
      </c>
      <c r="V25" s="13">
        <f>D25/$T$25*100</f>
        <v>9.0427786173942053</v>
      </c>
      <c r="W25" s="4">
        <f>E25/$T$25*100</f>
        <v>0.17723958745408433</v>
      </c>
      <c r="X25" s="4">
        <f>F25/$T$25*100</f>
        <v>0</v>
      </c>
      <c r="Y25" s="48">
        <f>G25/$T$25*100</f>
        <v>90.779981795151713</v>
      </c>
      <c r="AC25" s="14"/>
    </row>
    <row r="26" spans="1:29" ht="17" thickBot="1" x14ac:dyDescent="0.25">
      <c r="A26" s="52" t="s">
        <v>80</v>
      </c>
      <c r="B26" s="8" t="s">
        <v>23</v>
      </c>
      <c r="C26" s="13">
        <v>136.74822250998346</v>
      </c>
      <c r="D26" s="29">
        <v>1940028</v>
      </c>
      <c r="E26" s="30">
        <v>44155</v>
      </c>
      <c r="F26" s="30"/>
      <c r="G26" s="30">
        <v>17156094</v>
      </c>
      <c r="H26" s="30"/>
      <c r="I26" s="30"/>
      <c r="J26" s="30"/>
      <c r="K26" s="28"/>
      <c r="L26" s="28">
        <f t="shared" si="0"/>
        <v>14186.860819038186</v>
      </c>
      <c r="M26" s="28">
        <f t="shared" si="1"/>
        <v>322.89267962350601</v>
      </c>
      <c r="N26" s="28">
        <f t="shared" si="2"/>
        <v>0</v>
      </c>
      <c r="O26" s="42">
        <f t="shared" si="3"/>
        <v>125457.52833275401</v>
      </c>
      <c r="P26" s="28"/>
      <c r="Q26" s="28"/>
      <c r="R26" s="28"/>
      <c r="S26" s="28"/>
      <c r="T26" s="8">
        <f t="shared" si="4"/>
        <v>19140277</v>
      </c>
      <c r="U26" s="43">
        <f t="shared" si="5"/>
        <v>139967.28183141569</v>
      </c>
      <c r="V26" s="13">
        <f>D26/$T$26*100</f>
        <v>10.135840771792383</v>
      </c>
      <c r="W26" s="4">
        <f>E26/$T$26*100</f>
        <v>0.23069154119347385</v>
      </c>
      <c r="X26" s="4">
        <f>F26/$T$26*100</f>
        <v>0</v>
      </c>
      <c r="Y26" s="48">
        <f>G26/$T$26*100</f>
        <v>89.633467687014146</v>
      </c>
      <c r="AC26" s="14"/>
    </row>
    <row r="27" spans="1:29" x14ac:dyDescent="0.2">
      <c r="A27" s="109" t="s">
        <v>82</v>
      </c>
      <c r="B27" s="8" t="s">
        <v>24</v>
      </c>
      <c r="C27" s="13">
        <v>117.01602075231662</v>
      </c>
      <c r="D27" s="29">
        <v>1365852</v>
      </c>
      <c r="E27" s="30">
        <v>13603</v>
      </c>
      <c r="F27" s="30"/>
      <c r="G27" s="30">
        <v>17079424</v>
      </c>
      <c r="H27" s="30"/>
      <c r="I27" s="30"/>
      <c r="J27" s="30"/>
      <c r="K27" s="28"/>
      <c r="L27" s="28">
        <f t="shared" si="0"/>
        <v>11672.350428759213</v>
      </c>
      <c r="M27" s="28">
        <f t="shared" si="1"/>
        <v>116.24903934131341</v>
      </c>
      <c r="N27" s="28">
        <f t="shared" si="2"/>
        <v>0</v>
      </c>
      <c r="O27" s="42">
        <f t="shared" si="3"/>
        <v>145957.99694942089</v>
      </c>
      <c r="P27" s="28"/>
      <c r="Q27" s="28"/>
      <c r="R27" s="28"/>
      <c r="S27" s="28"/>
      <c r="T27" s="8">
        <f t="shared" si="4"/>
        <v>18458879</v>
      </c>
      <c r="U27" s="43">
        <f t="shared" si="5"/>
        <v>157746.59641752142</v>
      </c>
      <c r="V27" s="13">
        <f>D27/$T$27*100</f>
        <v>7.3994309188548231</v>
      </c>
      <c r="W27" s="4">
        <f>E27/$T$27*100</f>
        <v>7.3693532527083577E-2</v>
      </c>
      <c r="X27" s="4">
        <f>F27/$T$27*100</f>
        <v>0</v>
      </c>
      <c r="Y27" s="48">
        <f>G27/$T$27*100</f>
        <v>92.526875548618094</v>
      </c>
      <c r="AC27" s="14"/>
    </row>
    <row r="28" spans="1:29" x14ac:dyDescent="0.2">
      <c r="A28" s="110" t="s">
        <v>84</v>
      </c>
      <c r="B28" s="8" t="s">
        <v>25</v>
      </c>
      <c r="C28" s="13">
        <v>124.6589491999994</v>
      </c>
      <c r="D28" s="29">
        <v>1713357</v>
      </c>
      <c r="E28" s="30">
        <v>37746</v>
      </c>
      <c r="F28" s="30"/>
      <c r="G28" s="30">
        <v>19049873</v>
      </c>
      <c r="H28" s="30"/>
      <c r="I28" s="30"/>
      <c r="J28" s="30"/>
      <c r="K28" s="28"/>
      <c r="L28" s="28">
        <f t="shared" si="0"/>
        <v>13744.356189391081</v>
      </c>
      <c r="M28" s="28">
        <f t="shared" si="1"/>
        <v>302.79414548442367</v>
      </c>
      <c r="N28" s="28">
        <f t="shared" si="2"/>
        <v>0</v>
      </c>
      <c r="O28" s="42">
        <f t="shared" si="3"/>
        <v>152815.92795585745</v>
      </c>
      <c r="P28" s="28"/>
      <c r="Q28" s="28"/>
      <c r="R28" s="28"/>
      <c r="S28" s="28"/>
      <c r="T28" s="8">
        <f t="shared" si="4"/>
        <v>20800976</v>
      </c>
      <c r="U28" s="43">
        <f t="shared" si="5"/>
        <v>166863.07829073296</v>
      </c>
      <c r="V28" s="13">
        <f>D28/$T$28*100</f>
        <v>8.2369067682208748</v>
      </c>
      <c r="W28" s="4">
        <f>E28/$T$28*100</f>
        <v>0.18146263906078253</v>
      </c>
      <c r="X28" s="4">
        <f>F28/$T$28*100</f>
        <v>0</v>
      </c>
      <c r="Y28" s="48">
        <f>G28/$T$28*100</f>
        <v>91.581630592718341</v>
      </c>
      <c r="AC28" s="14"/>
    </row>
    <row r="29" spans="1:29" ht="17" thickBot="1" x14ac:dyDescent="0.25">
      <c r="A29" s="98" t="s">
        <v>86</v>
      </c>
      <c r="B29" s="8" t="s">
        <v>26</v>
      </c>
      <c r="C29" s="13">
        <v>131.82322224628973</v>
      </c>
      <c r="D29" s="29">
        <v>1996552</v>
      </c>
      <c r="E29" s="30">
        <v>35450</v>
      </c>
      <c r="F29" s="30"/>
      <c r="G29" s="30">
        <v>21269168</v>
      </c>
      <c r="H29" s="30"/>
      <c r="I29" s="30"/>
      <c r="J29" s="30"/>
      <c r="K29" s="28"/>
      <c r="L29" s="28">
        <f t="shared" si="0"/>
        <v>15145.677415393284</v>
      </c>
      <c r="M29" s="28">
        <f t="shared" si="1"/>
        <v>268.9207515635415</v>
      </c>
      <c r="N29" s="28">
        <f t="shared" si="2"/>
        <v>0</v>
      </c>
      <c r="O29" s="42">
        <f t="shared" si="3"/>
        <v>161346.13945532375</v>
      </c>
      <c r="P29" s="28"/>
      <c r="Q29" s="28"/>
      <c r="R29" s="28"/>
      <c r="S29" s="28"/>
      <c r="T29" s="8">
        <f t="shared" si="4"/>
        <v>23301170</v>
      </c>
      <c r="U29" s="43">
        <f t="shared" si="5"/>
        <v>176760.73762228058</v>
      </c>
      <c r="V29" s="13">
        <f>D29/$T$29*100</f>
        <v>8.5684624420147149</v>
      </c>
      <c r="W29" s="4">
        <f>E29/$T$29*100</f>
        <v>0.15213828318492162</v>
      </c>
      <c r="X29" s="4">
        <f>F29/$T$29*100</f>
        <v>0</v>
      </c>
      <c r="Y29" s="48">
        <f>G29/$T$29*100</f>
        <v>91.279399274800369</v>
      </c>
      <c r="AC29" s="14"/>
    </row>
    <row r="30" spans="1:29" x14ac:dyDescent="0.2">
      <c r="A30" s="1" t="s">
        <v>88</v>
      </c>
      <c r="B30" s="8" t="s">
        <v>27</v>
      </c>
      <c r="C30" s="13">
        <v>120.13545845490287</v>
      </c>
      <c r="D30" s="29">
        <v>14632843</v>
      </c>
      <c r="E30" s="30">
        <v>332340</v>
      </c>
      <c r="F30" s="30"/>
      <c r="G30" s="30">
        <v>8042</v>
      </c>
      <c r="H30" s="30"/>
      <c r="I30" s="30"/>
      <c r="J30" s="30"/>
      <c r="K30" s="28"/>
      <c r="L30" s="28">
        <f t="shared" si="0"/>
        <v>121802.86476779841</v>
      </c>
      <c r="M30" s="28">
        <f t="shared" si="1"/>
        <v>2766.377256759341</v>
      </c>
      <c r="N30" s="28">
        <f t="shared" si="2"/>
        <v>0</v>
      </c>
      <c r="O30" s="42">
        <f t="shared" si="3"/>
        <v>66.941102181075465</v>
      </c>
      <c r="P30" s="28"/>
      <c r="Q30" s="28"/>
      <c r="R30" s="28"/>
      <c r="S30" s="28"/>
      <c r="T30" s="8">
        <f t="shared" si="4"/>
        <v>14973225</v>
      </c>
      <c r="U30" s="43">
        <f t="shared" si="5"/>
        <v>124636.18312673883</v>
      </c>
      <c r="V30" s="13">
        <f>D30/$T$30*100</f>
        <v>97.726728877713384</v>
      </c>
      <c r="W30" s="4">
        <f>E30/$T$30*100</f>
        <v>2.2195619180236723</v>
      </c>
      <c r="X30" s="4">
        <f>F30/$T$30*100</f>
        <v>0</v>
      </c>
      <c r="Y30" s="48">
        <f>G30/$T$30*100</f>
        <v>5.3709204262942685E-2</v>
      </c>
      <c r="AC30" s="14"/>
    </row>
    <row r="31" spans="1:29" x14ac:dyDescent="0.2">
      <c r="A31" s="1" t="s">
        <v>90</v>
      </c>
      <c r="B31" s="8" t="s">
        <v>28</v>
      </c>
      <c r="C31" s="13">
        <v>133.6306416614492</v>
      </c>
      <c r="D31" s="29">
        <v>14956709</v>
      </c>
      <c r="E31" s="30">
        <v>362215</v>
      </c>
      <c r="F31" s="30"/>
      <c r="G31" s="30">
        <v>3849</v>
      </c>
      <c r="H31" s="30"/>
      <c r="I31" s="30"/>
      <c r="J31" s="30"/>
      <c r="K31" s="28"/>
      <c r="L31" s="28">
        <f t="shared" si="0"/>
        <v>111925.7440811558</v>
      </c>
      <c r="M31" s="28">
        <f t="shared" si="1"/>
        <v>2710.5684407148556</v>
      </c>
      <c r="N31" s="28">
        <f t="shared" si="2"/>
        <v>0</v>
      </c>
      <c r="O31" s="42">
        <f t="shared" si="3"/>
        <v>28.803274100496886</v>
      </c>
      <c r="P31" s="28"/>
      <c r="Q31" s="28"/>
      <c r="R31" s="28"/>
      <c r="S31" s="28"/>
      <c r="T31" s="8">
        <f t="shared" si="4"/>
        <v>15322773</v>
      </c>
      <c r="U31" s="43">
        <f t="shared" si="5"/>
        <v>114665.11579597116</v>
      </c>
      <c r="V31" s="13">
        <f>D31/$T$31*100</f>
        <v>97.61098072783561</v>
      </c>
      <c r="W31" s="4">
        <f>E31/$T$31*100</f>
        <v>2.3638997980326404</v>
      </c>
      <c r="X31" s="4">
        <f>F31/$T$31*100</f>
        <v>0</v>
      </c>
      <c r="Y31" s="48">
        <f>G31/$T$31*100</f>
        <v>2.5119474131738425E-2</v>
      </c>
      <c r="AC31" s="14"/>
    </row>
    <row r="32" spans="1:29" x14ac:dyDescent="0.2">
      <c r="A32" s="1" t="s">
        <v>92</v>
      </c>
      <c r="B32" s="8" t="s">
        <v>29</v>
      </c>
      <c r="C32" s="13">
        <v>89.665815943679206</v>
      </c>
      <c r="D32" s="29">
        <v>18630520</v>
      </c>
      <c r="E32" s="30">
        <v>456938</v>
      </c>
      <c r="F32" s="30"/>
      <c r="G32" s="30">
        <v>15089</v>
      </c>
      <c r="H32" s="30"/>
      <c r="I32" s="30"/>
      <c r="J32" s="30"/>
      <c r="K32" s="28"/>
      <c r="L32" s="28">
        <f t="shared" si="0"/>
        <v>207777.28729644508</v>
      </c>
      <c r="M32" s="28">
        <f t="shared" si="1"/>
        <v>5096.0111742808585</v>
      </c>
      <c r="N32" s="28">
        <f t="shared" si="2"/>
        <v>0</v>
      </c>
      <c r="O32" s="42">
        <f t="shared" si="3"/>
        <v>168.28040698896541</v>
      </c>
      <c r="P32" s="28"/>
      <c r="Q32" s="28"/>
      <c r="R32" s="28"/>
      <c r="S32" s="28"/>
      <c r="T32" s="8">
        <f t="shared" si="4"/>
        <v>19102547</v>
      </c>
      <c r="U32" s="43">
        <f t="shared" si="5"/>
        <v>213041.5788777149</v>
      </c>
      <c r="V32" s="13">
        <f>D32/$T$32*100</f>
        <v>97.528983962191006</v>
      </c>
      <c r="W32" s="4">
        <f>E32/$T$32*100</f>
        <v>2.3920265711164066</v>
      </c>
      <c r="X32" s="4">
        <f>F32/$T$32*100</f>
        <v>0</v>
      </c>
      <c r="Y32" s="48">
        <f>G32/$T$32*100</f>
        <v>7.898946669258293E-2</v>
      </c>
      <c r="AC32" s="14"/>
    </row>
    <row r="33" spans="1:29" x14ac:dyDescent="0.2">
      <c r="A33" s="1" t="s">
        <v>94</v>
      </c>
      <c r="B33" s="8" t="s">
        <v>30</v>
      </c>
      <c r="C33" s="13">
        <v>117.18257637794109</v>
      </c>
      <c r="D33" s="29">
        <v>1605377</v>
      </c>
      <c r="E33" s="30">
        <v>18844</v>
      </c>
      <c r="F33" s="30"/>
      <c r="G33" s="30">
        <v>14561130</v>
      </c>
      <c r="H33" s="30"/>
      <c r="I33" s="30"/>
      <c r="J33" s="30"/>
      <c r="K33" s="28"/>
      <c r="L33" s="28">
        <f t="shared" si="0"/>
        <v>13699.792662198222</v>
      </c>
      <c r="M33" s="28">
        <f t="shared" si="1"/>
        <v>160.80888970407779</v>
      </c>
      <c r="N33" s="28">
        <f t="shared" si="2"/>
        <v>0</v>
      </c>
      <c r="O33" s="42">
        <f t="shared" si="3"/>
        <v>124260.19678076514</v>
      </c>
      <c r="P33" s="28"/>
      <c r="Q33" s="28"/>
      <c r="R33" s="28"/>
      <c r="S33" s="28"/>
      <c r="T33" s="8">
        <f t="shared" si="4"/>
        <v>16185351</v>
      </c>
      <c r="U33" s="43">
        <f t="shared" si="5"/>
        <v>138120.79833266744</v>
      </c>
      <c r="V33" s="13">
        <f>D33/$T$33*100</f>
        <v>9.9187036475143486</v>
      </c>
      <c r="W33" s="4">
        <f>E33/$T$33*100</f>
        <v>0.11642626718444352</v>
      </c>
      <c r="X33" s="4">
        <f>F33/$T$33*100</f>
        <v>0</v>
      </c>
      <c r="Y33" s="48">
        <f>G33/$T$33*100</f>
        <v>89.964870085301214</v>
      </c>
      <c r="AC33" s="14"/>
    </row>
    <row r="34" spans="1:29" x14ac:dyDescent="0.2">
      <c r="A34" s="1" t="s">
        <v>96</v>
      </c>
      <c r="B34" s="8" t="s">
        <v>31</v>
      </c>
      <c r="C34" s="13">
        <v>93.866959001563146</v>
      </c>
      <c r="D34" s="29">
        <v>2473074</v>
      </c>
      <c r="E34" s="30">
        <v>68505</v>
      </c>
      <c r="F34" s="30"/>
      <c r="G34" s="30">
        <v>12856040</v>
      </c>
      <c r="H34" s="30"/>
      <c r="I34" s="30"/>
      <c r="J34" s="30"/>
      <c r="K34" s="28"/>
      <c r="L34" s="28">
        <f t="shared" si="0"/>
        <v>26346.586981248816</v>
      </c>
      <c r="M34" s="28">
        <f t="shared" si="1"/>
        <v>729.80951688079301</v>
      </c>
      <c r="N34" s="28">
        <f t="shared" si="2"/>
        <v>0</v>
      </c>
      <c r="O34" s="42">
        <f t="shared" si="3"/>
        <v>136960.22686519451</v>
      </c>
      <c r="P34" s="28"/>
      <c r="Q34" s="28"/>
      <c r="R34" s="28"/>
      <c r="S34" s="28"/>
      <c r="T34" s="8">
        <f t="shared" si="4"/>
        <v>15397619</v>
      </c>
      <c r="U34" s="43">
        <f t="shared" si="5"/>
        <v>164036.62336332412</v>
      </c>
      <c r="V34" s="13">
        <f>D34/$T$34*100</f>
        <v>16.061405338059085</v>
      </c>
      <c r="W34" s="4">
        <f>E34/$T$34*100</f>
        <v>0.44490644949715924</v>
      </c>
      <c r="X34" s="4">
        <f>F34/$T$34*100</f>
        <v>0</v>
      </c>
      <c r="Y34" s="48">
        <f>G34/$T$34*100</f>
        <v>83.493688212443757</v>
      </c>
      <c r="AC34" s="14"/>
    </row>
    <row r="35" spans="1:29" ht="16" thickBot="1" x14ac:dyDescent="0.25">
      <c r="A35" s="1" t="s">
        <v>98</v>
      </c>
      <c r="B35" s="8" t="s">
        <v>32</v>
      </c>
      <c r="C35" s="13">
        <v>124.3878226689603</v>
      </c>
      <c r="D35" s="29">
        <v>1846931</v>
      </c>
      <c r="E35" s="30">
        <v>69527</v>
      </c>
      <c r="F35" s="30"/>
      <c r="G35" s="30">
        <v>12400396</v>
      </c>
      <c r="H35" s="30"/>
      <c r="I35" s="30"/>
      <c r="J35" s="30"/>
      <c r="K35" s="28"/>
      <c r="L35" s="28">
        <f t="shared" si="0"/>
        <v>14848.165683511741</v>
      </c>
      <c r="M35" s="28">
        <f t="shared" si="1"/>
        <v>558.95342894646353</v>
      </c>
      <c r="N35" s="28">
        <f t="shared" si="2"/>
        <v>0</v>
      </c>
      <c r="O35" s="42">
        <f t="shared" si="3"/>
        <v>99691.398514160115</v>
      </c>
      <c r="P35" s="28"/>
      <c r="Q35" s="28"/>
      <c r="R35" s="28"/>
      <c r="S35" s="28"/>
      <c r="T35" s="8">
        <f t="shared" si="4"/>
        <v>14316854</v>
      </c>
      <c r="U35" s="43">
        <f t="shared" si="5"/>
        <v>115098.51762661833</v>
      </c>
      <c r="V35" s="13">
        <f>D35/$T$35*100</f>
        <v>12.900396972686876</v>
      </c>
      <c r="W35" s="4">
        <f>E35/$T$35*100</f>
        <v>0.48563043249585414</v>
      </c>
      <c r="X35" s="4">
        <f>F35/$T$35*100</f>
        <v>0</v>
      </c>
      <c r="Y35" s="48">
        <f>G35/$T$35*100</f>
        <v>86.61397259481727</v>
      </c>
      <c r="AC35" s="14"/>
    </row>
    <row r="36" spans="1:29" x14ac:dyDescent="0.2">
      <c r="A36" s="109" t="s">
        <v>100</v>
      </c>
      <c r="B36" s="8" t="s">
        <v>33</v>
      </c>
      <c r="C36" s="13">
        <v>116.31998434140461</v>
      </c>
      <c r="D36" s="29">
        <v>1198844</v>
      </c>
      <c r="E36" s="30">
        <v>32986</v>
      </c>
      <c r="F36" s="30"/>
      <c r="G36" s="30">
        <v>12463822</v>
      </c>
      <c r="H36" s="30"/>
      <c r="I36" s="30"/>
      <c r="J36" s="30"/>
      <c r="K36" s="28"/>
      <c r="L36" s="28">
        <f t="shared" si="0"/>
        <v>10306.431923867327</v>
      </c>
      <c r="M36" s="28">
        <f t="shared" si="1"/>
        <v>283.57981809200169</v>
      </c>
      <c r="N36" s="28">
        <f t="shared" si="2"/>
        <v>0</v>
      </c>
      <c r="O36" s="42">
        <f t="shared" si="3"/>
        <v>107151.16641881672</v>
      </c>
      <c r="P36" s="28"/>
      <c r="Q36" s="28"/>
      <c r="R36" s="28"/>
      <c r="S36" s="28"/>
      <c r="T36" s="8">
        <f t="shared" si="4"/>
        <v>13695652</v>
      </c>
      <c r="U36" s="43">
        <f t="shared" si="5"/>
        <v>117741.17816077605</v>
      </c>
      <c r="V36" s="13">
        <f>D36/$T$36*100</f>
        <v>8.7534642381392285</v>
      </c>
      <c r="W36" s="4">
        <f>E36/$T$36*100</f>
        <v>0.24085016178857346</v>
      </c>
      <c r="X36" s="4">
        <f>F36/$T$36*100</f>
        <v>0</v>
      </c>
      <c r="Y36" s="48">
        <f>G36/$T$36*100</f>
        <v>91.005685600072198</v>
      </c>
      <c r="AC36" s="14"/>
    </row>
    <row r="37" spans="1:29" x14ac:dyDescent="0.2">
      <c r="A37" s="110" t="s">
        <v>102</v>
      </c>
      <c r="B37" s="8" t="s">
        <v>34</v>
      </c>
      <c r="C37" s="13">
        <v>75.56969360035805</v>
      </c>
      <c r="D37" s="29">
        <v>1775071</v>
      </c>
      <c r="E37" s="30">
        <v>48442</v>
      </c>
      <c r="F37" s="30"/>
      <c r="G37" s="30">
        <v>12728138</v>
      </c>
      <c r="H37" s="30"/>
      <c r="I37" s="30"/>
      <c r="J37" s="30"/>
      <c r="K37" s="28"/>
      <c r="L37" s="28">
        <f t="shared" si="0"/>
        <v>23489.191439458074</v>
      </c>
      <c r="M37" s="28">
        <f t="shared" si="1"/>
        <v>641.02416844747506</v>
      </c>
      <c r="N37" s="28">
        <f t="shared" si="2"/>
        <v>0</v>
      </c>
      <c r="O37" s="42">
        <f t="shared" si="3"/>
        <v>168429.13334161902</v>
      </c>
      <c r="P37" s="28"/>
      <c r="Q37" s="28"/>
      <c r="R37" s="28"/>
      <c r="S37" s="28"/>
      <c r="T37" s="8">
        <f t="shared" si="4"/>
        <v>14551651</v>
      </c>
      <c r="U37" s="43">
        <f t="shared" si="5"/>
        <v>192559.34894952457</v>
      </c>
      <c r="V37" s="13">
        <f>D37/$T$37*100</f>
        <v>12.198416523320962</v>
      </c>
      <c r="W37" s="4">
        <f>E37/$T$37*100</f>
        <v>0.33289693382558444</v>
      </c>
      <c r="X37" s="4">
        <f>F37/$T$37*100</f>
        <v>0</v>
      </c>
      <c r="Y37" s="48">
        <f>G37/$T$37*100</f>
        <v>87.468686542853462</v>
      </c>
      <c r="AC37" s="14"/>
    </row>
    <row r="38" spans="1:29" ht="16" thickBot="1" x14ac:dyDescent="0.25">
      <c r="A38" s="111" t="s">
        <v>104</v>
      </c>
      <c r="B38" s="9" t="s">
        <v>35</v>
      </c>
      <c r="C38" s="15">
        <v>99.747880680763927</v>
      </c>
      <c r="D38" s="31">
        <v>1646462</v>
      </c>
      <c r="E38" s="32">
        <v>36290</v>
      </c>
      <c r="F38" s="32"/>
      <c r="G38" s="32">
        <v>15439711</v>
      </c>
      <c r="H38" s="32"/>
      <c r="I38" s="32"/>
      <c r="J38" s="32"/>
      <c r="K38" s="33"/>
      <c r="L38" s="28">
        <f t="shared" si="0"/>
        <v>16506.235408343018</v>
      </c>
      <c r="M38" s="28">
        <f t="shared" si="1"/>
        <v>363.81725358299684</v>
      </c>
      <c r="N38" s="28">
        <f t="shared" si="2"/>
        <v>0</v>
      </c>
      <c r="O38" s="42">
        <f t="shared" si="3"/>
        <v>154787.35883535919</v>
      </c>
      <c r="P38" s="28"/>
      <c r="Q38" s="28"/>
      <c r="R38" s="28"/>
      <c r="S38" s="28"/>
      <c r="T38" s="9">
        <f t="shared" si="4"/>
        <v>17122463</v>
      </c>
      <c r="U38" s="43">
        <f t="shared" si="5"/>
        <v>171657.41149728521</v>
      </c>
      <c r="V38" s="15">
        <f>D38/$T$38*100</f>
        <v>9.6158011846776947</v>
      </c>
      <c r="W38" s="16">
        <f>E38/$T$38*100</f>
        <v>0.21194380738331861</v>
      </c>
      <c r="X38" s="16">
        <f>F38/$T$38*100</f>
        <v>0</v>
      </c>
      <c r="Y38" s="49">
        <f>G38/$T$38*100</f>
        <v>90.172255007938986</v>
      </c>
      <c r="Z38" s="16"/>
      <c r="AA38" s="16"/>
      <c r="AB38" s="16"/>
      <c r="AC38" s="17"/>
    </row>
  </sheetData>
  <mergeCells count="7">
    <mergeCell ref="V1:AC1"/>
    <mergeCell ref="U1:U2"/>
    <mergeCell ref="A1:B2"/>
    <mergeCell ref="C1:C2"/>
    <mergeCell ref="D1:K1"/>
    <mergeCell ref="L1:S1"/>
    <mergeCell ref="T1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8"/>
  <sheetViews>
    <sheetView showGridLines="0" workbookViewId="0">
      <pane xSplit="2" topLeftCell="C1" activePane="topRight" state="frozen"/>
      <selection pane="topRight" activeCell="U30" sqref="U30:U35"/>
    </sheetView>
  </sheetViews>
  <sheetFormatPr baseColWidth="10" defaultColWidth="8.6640625" defaultRowHeight="15" x14ac:dyDescent="0.2"/>
  <cols>
    <col min="1" max="1" width="21.33203125" style="50" bestFit="1" customWidth="1"/>
    <col min="2" max="2" width="9.33203125" style="4" bestFit="1" customWidth="1"/>
    <col min="3" max="3" width="6.83203125" style="4" bestFit="1" customWidth="1"/>
    <col min="4" max="4" width="8.33203125" style="4" bestFit="1" customWidth="1"/>
    <col min="5" max="6" width="4.5" style="4" bestFit="1" customWidth="1"/>
    <col min="7" max="7" width="8.33203125" style="4" bestFit="1" customWidth="1"/>
    <col min="8" max="11" width="4.5" style="4" bestFit="1" customWidth="1"/>
    <col min="12" max="15" width="8.33203125" style="4" bestFit="1" customWidth="1"/>
    <col min="16" max="19" width="4.5" style="4" bestFit="1" customWidth="1"/>
    <col min="20" max="20" width="14.1640625" style="4" bestFit="1" customWidth="1"/>
    <col min="21" max="21" width="21.6640625" style="4" bestFit="1" customWidth="1"/>
    <col min="22" max="22" width="6.33203125" style="4" bestFit="1" customWidth="1"/>
    <col min="23" max="24" width="4.5" style="4" bestFit="1" customWidth="1"/>
    <col min="25" max="25" width="5.33203125" style="4" bestFit="1" customWidth="1"/>
    <col min="26" max="29" width="4.5" style="4" bestFit="1" customWidth="1"/>
    <col min="30" max="16384" width="8.6640625" style="4"/>
  </cols>
  <sheetData>
    <row r="1" spans="1:29" x14ac:dyDescent="0.2">
      <c r="A1" s="121" t="s">
        <v>52</v>
      </c>
      <c r="B1" s="122"/>
      <c r="C1" s="125" t="s">
        <v>48</v>
      </c>
      <c r="D1" s="127" t="s">
        <v>46</v>
      </c>
      <c r="E1" s="127"/>
      <c r="F1" s="127"/>
      <c r="G1" s="127"/>
      <c r="H1" s="127"/>
      <c r="I1" s="127"/>
      <c r="J1" s="127"/>
      <c r="K1" s="127"/>
      <c r="L1" s="128" t="s">
        <v>49</v>
      </c>
      <c r="M1" s="129"/>
      <c r="N1" s="129"/>
      <c r="O1" s="129"/>
      <c r="P1" s="129"/>
      <c r="Q1" s="129"/>
      <c r="R1" s="129"/>
      <c r="S1" s="130"/>
      <c r="T1" s="119" t="s">
        <v>45</v>
      </c>
      <c r="U1" s="119" t="s">
        <v>141</v>
      </c>
      <c r="V1" s="117" t="s">
        <v>47</v>
      </c>
      <c r="W1" s="117"/>
      <c r="X1" s="117"/>
      <c r="Y1" s="117"/>
      <c r="Z1" s="117"/>
      <c r="AA1" s="117"/>
      <c r="AB1" s="117"/>
      <c r="AC1" s="118"/>
    </row>
    <row r="2" spans="1:29" x14ac:dyDescent="0.2">
      <c r="A2" s="123"/>
      <c r="B2" s="124"/>
      <c r="C2" s="126"/>
      <c r="D2" s="5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7" t="s">
        <v>43</v>
      </c>
      <c r="L2" s="5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7" t="s">
        <v>43</v>
      </c>
      <c r="T2" s="120"/>
      <c r="U2" s="120"/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  <c r="AB2" s="6" t="s">
        <v>42</v>
      </c>
      <c r="AC2" s="7" t="s">
        <v>43</v>
      </c>
    </row>
    <row r="3" spans="1:29" x14ac:dyDescent="0.2">
      <c r="A3" s="1" t="s">
        <v>106</v>
      </c>
      <c r="B3" s="8" t="s">
        <v>0</v>
      </c>
      <c r="C3" s="13">
        <v>151.61856590318203</v>
      </c>
      <c r="D3" s="25">
        <v>664031</v>
      </c>
      <c r="E3" s="26"/>
      <c r="F3" s="26"/>
      <c r="G3" s="26"/>
      <c r="H3" s="26"/>
      <c r="I3" s="26"/>
      <c r="J3" s="26"/>
      <c r="K3" s="27"/>
      <c r="L3" s="28">
        <f t="shared" ref="L3:L38" si="0">D3/$C3</f>
        <v>4379.6153594014695</v>
      </c>
      <c r="M3" s="28">
        <f t="shared" ref="M3:M38" si="1">E3/$C3</f>
        <v>0</v>
      </c>
      <c r="N3" s="28">
        <f t="shared" ref="N3:N38" si="2">F3/$C3</f>
        <v>0</v>
      </c>
      <c r="O3" s="42">
        <f t="shared" ref="O3:O38" si="3">G3/$C3</f>
        <v>0</v>
      </c>
      <c r="P3" s="28"/>
      <c r="Q3" s="28"/>
      <c r="R3" s="28"/>
      <c r="S3" s="28"/>
      <c r="T3" s="8">
        <f>SUM(D3:K3)</f>
        <v>664031</v>
      </c>
      <c r="U3" s="43">
        <f>SUM(L3:S3)</f>
        <v>4379.6153594014695</v>
      </c>
      <c r="V3" s="10">
        <f>D3/$T$3*100</f>
        <v>100</v>
      </c>
      <c r="W3" s="11">
        <f>E3/$T$3*100</f>
        <v>0</v>
      </c>
      <c r="X3" s="11">
        <f>F3/$T$3*100</f>
        <v>0</v>
      </c>
      <c r="Y3" s="47">
        <f>G3/$T$3*100</f>
        <v>0</v>
      </c>
      <c r="Z3" s="11"/>
      <c r="AA3" s="11"/>
      <c r="AB3" s="11"/>
      <c r="AC3" s="12"/>
    </row>
    <row r="4" spans="1:29" x14ac:dyDescent="0.2">
      <c r="A4" s="1" t="s">
        <v>108</v>
      </c>
      <c r="B4" s="8" t="s">
        <v>1</v>
      </c>
      <c r="C4" s="13">
        <v>144.60827361219867</v>
      </c>
      <c r="D4" s="29">
        <v>890056</v>
      </c>
      <c r="E4" s="30"/>
      <c r="F4" s="30"/>
      <c r="G4" s="30"/>
      <c r="H4" s="30"/>
      <c r="I4" s="30"/>
      <c r="J4" s="30"/>
      <c r="K4" s="28"/>
      <c r="L4" s="28">
        <f t="shared" si="0"/>
        <v>6154.9452031140063</v>
      </c>
      <c r="M4" s="28">
        <f t="shared" si="1"/>
        <v>0</v>
      </c>
      <c r="N4" s="28">
        <f t="shared" si="2"/>
        <v>0</v>
      </c>
      <c r="O4" s="42">
        <f t="shared" si="3"/>
        <v>0</v>
      </c>
      <c r="P4" s="28"/>
      <c r="Q4" s="28"/>
      <c r="R4" s="28"/>
      <c r="S4" s="28"/>
      <c r="T4" s="8">
        <f t="shared" ref="T4:T38" si="4">SUM(D4:K4)</f>
        <v>890056</v>
      </c>
      <c r="U4" s="43">
        <f t="shared" ref="U4:U38" si="5">SUM(L4:S4)</f>
        <v>6154.9452031140063</v>
      </c>
      <c r="V4" s="13">
        <f>D4/$T$4*100</f>
        <v>100</v>
      </c>
      <c r="W4" s="4">
        <f>E4/$T$4*100</f>
        <v>0</v>
      </c>
      <c r="X4" s="4">
        <f>F4/$T$4*100</f>
        <v>0</v>
      </c>
      <c r="Y4" s="48">
        <f>G4/$T$4*100</f>
        <v>0</v>
      </c>
      <c r="AC4" s="14"/>
    </row>
    <row r="5" spans="1:29" ht="16" x14ac:dyDescent="0.2">
      <c r="A5" s="52" t="s">
        <v>110</v>
      </c>
      <c r="B5" s="8" t="s">
        <v>2</v>
      </c>
      <c r="C5" s="13">
        <v>126.18510720293932</v>
      </c>
      <c r="D5" s="29">
        <v>609505</v>
      </c>
      <c r="E5" s="30"/>
      <c r="F5" s="30"/>
      <c r="G5" s="30">
        <v>5066</v>
      </c>
      <c r="H5" s="30"/>
      <c r="I5" s="30"/>
      <c r="J5" s="30"/>
      <c r="K5" s="28"/>
      <c r="L5" s="28">
        <f t="shared" si="0"/>
        <v>4830.2451336016484</v>
      </c>
      <c r="M5" s="28">
        <f t="shared" si="1"/>
        <v>0</v>
      </c>
      <c r="N5" s="28">
        <f t="shared" si="2"/>
        <v>0</v>
      </c>
      <c r="O5" s="42">
        <f t="shared" si="3"/>
        <v>40.147368515149097</v>
      </c>
      <c r="P5" s="28"/>
      <c r="Q5" s="28"/>
      <c r="R5" s="28"/>
      <c r="S5" s="28"/>
      <c r="T5" s="8">
        <f t="shared" si="4"/>
        <v>614571</v>
      </c>
      <c r="U5" s="43">
        <f t="shared" si="5"/>
        <v>4870.3925021167979</v>
      </c>
      <c r="V5" s="13">
        <f>D5/$T$5*100</f>
        <v>99.175685152732555</v>
      </c>
      <c r="W5" s="4">
        <f>E5/$T$5*100</f>
        <v>0</v>
      </c>
      <c r="X5" s="4">
        <f>F5/$T$5*100</f>
        <v>0</v>
      </c>
      <c r="Y5" s="48">
        <f>G5/$T$5*100</f>
        <v>0.82431484726744353</v>
      </c>
      <c r="AC5" s="14"/>
    </row>
    <row r="6" spans="1:29" ht="16" x14ac:dyDescent="0.2">
      <c r="A6" s="52" t="s">
        <v>112</v>
      </c>
      <c r="B6" s="8" t="s">
        <v>3</v>
      </c>
      <c r="C6" s="13">
        <v>139.22341121667353</v>
      </c>
      <c r="D6" s="29">
        <v>38991</v>
      </c>
      <c r="E6" s="30"/>
      <c r="F6" s="30"/>
      <c r="G6" s="30">
        <v>599975</v>
      </c>
      <c r="H6" s="30"/>
      <c r="I6" s="30"/>
      <c r="J6" s="30"/>
      <c r="K6" s="28"/>
      <c r="L6" s="28">
        <f t="shared" si="0"/>
        <v>280.06065689137779</v>
      </c>
      <c r="M6" s="28">
        <f t="shared" si="1"/>
        <v>0</v>
      </c>
      <c r="N6" s="28">
        <f t="shared" si="2"/>
        <v>0</v>
      </c>
      <c r="O6" s="42">
        <f t="shared" si="3"/>
        <v>4309.440450832356</v>
      </c>
      <c r="P6" s="28"/>
      <c r="Q6" s="28"/>
      <c r="R6" s="28"/>
      <c r="S6" s="28"/>
      <c r="T6" s="8">
        <f t="shared" si="4"/>
        <v>638966</v>
      </c>
      <c r="U6" s="43">
        <f t="shared" si="5"/>
        <v>4589.5011077237341</v>
      </c>
      <c r="V6" s="13">
        <f>D6/$T$6*100</f>
        <v>6.1022026211097309</v>
      </c>
      <c r="W6" s="4">
        <f>E6/$T$6*100</f>
        <v>0</v>
      </c>
      <c r="X6" s="4">
        <f>F6/$T$6*100</f>
        <v>0</v>
      </c>
      <c r="Y6" s="48">
        <f>G6/$T$6*100</f>
        <v>93.897797378890274</v>
      </c>
      <c r="AC6" s="14"/>
    </row>
    <row r="7" spans="1:29" ht="16" x14ac:dyDescent="0.2">
      <c r="A7" s="52" t="s">
        <v>114</v>
      </c>
      <c r="B7" s="8" t="s">
        <v>4</v>
      </c>
      <c r="C7" s="13">
        <v>151.90975415986941</v>
      </c>
      <c r="D7" s="29">
        <v>140951</v>
      </c>
      <c r="E7" s="30"/>
      <c r="F7" s="30"/>
      <c r="G7" s="30">
        <v>1025651</v>
      </c>
      <c r="H7" s="30"/>
      <c r="I7" s="30"/>
      <c r="J7" s="30"/>
      <c r="K7" s="28"/>
      <c r="L7" s="28">
        <f t="shared" si="0"/>
        <v>927.86010206865024</v>
      </c>
      <c r="M7" s="28">
        <f t="shared" si="1"/>
        <v>0</v>
      </c>
      <c r="N7" s="28">
        <f t="shared" si="2"/>
        <v>0</v>
      </c>
      <c r="O7" s="42">
        <f t="shared" si="3"/>
        <v>6751.7125919419741</v>
      </c>
      <c r="P7" s="28"/>
      <c r="Q7" s="28"/>
      <c r="R7" s="28"/>
      <c r="S7" s="28"/>
      <c r="T7" s="8">
        <f t="shared" si="4"/>
        <v>1166602</v>
      </c>
      <c r="U7" s="43">
        <f t="shared" si="5"/>
        <v>7679.5726940106242</v>
      </c>
      <c r="V7" s="13">
        <f>D7/$T$7*100</f>
        <v>12.08218398391225</v>
      </c>
      <c r="W7" s="4">
        <f>E7/$T$7*100</f>
        <v>0</v>
      </c>
      <c r="X7" s="4">
        <f>F7/$T$7*100</f>
        <v>0</v>
      </c>
      <c r="Y7" s="48">
        <f>G7/$T$7*100</f>
        <v>87.917816016087741</v>
      </c>
      <c r="AC7" s="14"/>
    </row>
    <row r="8" spans="1:29" ht="17" thickBot="1" x14ac:dyDescent="0.25">
      <c r="A8" s="52" t="s">
        <v>116</v>
      </c>
      <c r="B8" s="8" t="s">
        <v>5</v>
      </c>
      <c r="C8" s="13">
        <v>108.99908875208385</v>
      </c>
      <c r="D8" s="29">
        <v>150937</v>
      </c>
      <c r="E8" s="30"/>
      <c r="F8" s="30"/>
      <c r="G8" s="30">
        <v>1136992</v>
      </c>
      <c r="H8" s="30"/>
      <c r="I8" s="30"/>
      <c r="J8" s="30"/>
      <c r="K8" s="28"/>
      <c r="L8" s="28">
        <f t="shared" si="0"/>
        <v>1384.754695915881</v>
      </c>
      <c r="M8" s="28">
        <f t="shared" si="1"/>
        <v>0</v>
      </c>
      <c r="N8" s="28">
        <f t="shared" si="2"/>
        <v>0</v>
      </c>
      <c r="O8" s="42">
        <f t="shared" si="3"/>
        <v>10431.206471698719</v>
      </c>
      <c r="P8" s="28"/>
      <c r="Q8" s="28"/>
      <c r="R8" s="28"/>
      <c r="S8" s="28"/>
      <c r="T8" s="8">
        <f t="shared" si="4"/>
        <v>1287929</v>
      </c>
      <c r="U8" s="43">
        <f t="shared" si="5"/>
        <v>11815.9611676146</v>
      </c>
      <c r="V8" s="13">
        <f>D8/$T$8*100</f>
        <v>11.719357200591027</v>
      </c>
      <c r="W8" s="4">
        <f>E8/$T$8*100</f>
        <v>0</v>
      </c>
      <c r="X8" s="4">
        <f>F8/$T$8*100</f>
        <v>0</v>
      </c>
      <c r="Y8" s="48">
        <f>G8/$T$8*100</f>
        <v>88.280642799408966</v>
      </c>
      <c r="AC8" s="14"/>
    </row>
    <row r="9" spans="1:29" s="95" customFormat="1" x14ac:dyDescent="0.2">
      <c r="A9" s="109" t="s">
        <v>118</v>
      </c>
      <c r="B9" s="88" t="s">
        <v>6</v>
      </c>
      <c r="C9" s="89">
        <v>156.73380954252787</v>
      </c>
      <c r="D9" s="90">
        <v>64856</v>
      </c>
      <c r="E9" s="91"/>
      <c r="F9" s="91"/>
      <c r="G9" s="91">
        <v>661150</v>
      </c>
      <c r="H9" s="91"/>
      <c r="I9" s="91"/>
      <c r="J9" s="91"/>
      <c r="K9" s="92"/>
      <c r="L9" s="92">
        <f t="shared" si="0"/>
        <v>413.79712641006211</v>
      </c>
      <c r="M9" s="92">
        <f t="shared" si="1"/>
        <v>0</v>
      </c>
      <c r="N9" s="92">
        <f t="shared" si="2"/>
        <v>0</v>
      </c>
      <c r="O9" s="93">
        <f t="shared" si="3"/>
        <v>4218.2985402431932</v>
      </c>
      <c r="P9" s="92"/>
      <c r="Q9" s="92"/>
      <c r="R9" s="92"/>
      <c r="S9" s="92"/>
      <c r="T9" s="88">
        <f t="shared" si="4"/>
        <v>726006</v>
      </c>
      <c r="U9" s="94">
        <f t="shared" si="5"/>
        <v>4632.0956666532556</v>
      </c>
      <c r="V9" s="89">
        <f>D9/$T$9*100</f>
        <v>8.9332595047423862</v>
      </c>
      <c r="W9" s="95">
        <f>E9/$T$9*100</f>
        <v>0</v>
      </c>
      <c r="X9" s="95">
        <f>F9/$T$9*100</f>
        <v>0</v>
      </c>
      <c r="Y9" s="96">
        <f>G9/$T$9*100</f>
        <v>91.066740495257619</v>
      </c>
      <c r="AC9" s="97"/>
    </row>
    <row r="10" spans="1:29" x14ac:dyDescent="0.2">
      <c r="A10" s="110" t="s">
        <v>120</v>
      </c>
      <c r="B10" s="8" t="s">
        <v>7</v>
      </c>
      <c r="C10" s="13">
        <v>145.0979296286427</v>
      </c>
      <c r="D10" s="29">
        <v>104097</v>
      </c>
      <c r="E10" s="30"/>
      <c r="F10" s="30"/>
      <c r="G10" s="30">
        <v>1071096</v>
      </c>
      <c r="H10" s="30"/>
      <c r="I10" s="30"/>
      <c r="J10" s="30"/>
      <c r="K10" s="28"/>
      <c r="L10" s="28">
        <f t="shared" si="0"/>
        <v>717.42581211476488</v>
      </c>
      <c r="M10" s="28">
        <f t="shared" si="1"/>
        <v>0</v>
      </c>
      <c r="N10" s="28">
        <f t="shared" si="2"/>
        <v>0</v>
      </c>
      <c r="O10" s="42">
        <f t="shared" si="3"/>
        <v>7381.8834130942896</v>
      </c>
      <c r="P10" s="28"/>
      <c r="Q10" s="28"/>
      <c r="R10" s="28"/>
      <c r="S10" s="28"/>
      <c r="T10" s="8">
        <f t="shared" si="4"/>
        <v>1175193</v>
      </c>
      <c r="U10" s="43">
        <f t="shared" si="5"/>
        <v>8099.3092252090546</v>
      </c>
      <c r="V10" s="13">
        <f>D10/$T$10*100</f>
        <v>8.8578641976254122</v>
      </c>
      <c r="W10" s="4">
        <f>E10/$T$10*100</f>
        <v>0</v>
      </c>
      <c r="X10" s="4">
        <f>F10/$T$10*100</f>
        <v>0</v>
      </c>
      <c r="Y10" s="48">
        <f>G10/$T$10*100</f>
        <v>91.142135802374597</v>
      </c>
      <c r="AC10" s="14"/>
    </row>
    <row r="11" spans="1:29" s="106" customFormat="1" ht="17" thickBot="1" x14ac:dyDescent="0.25">
      <c r="A11" s="98" t="s">
        <v>122</v>
      </c>
      <c r="B11" s="99" t="s">
        <v>8</v>
      </c>
      <c r="C11" s="100">
        <v>127.74830304604941</v>
      </c>
      <c r="D11" s="101">
        <v>119863</v>
      </c>
      <c r="E11" s="102"/>
      <c r="F11" s="102"/>
      <c r="G11" s="102">
        <v>1039278</v>
      </c>
      <c r="H11" s="102"/>
      <c r="I11" s="102"/>
      <c r="J11" s="102"/>
      <c r="K11" s="103"/>
      <c r="L11" s="103">
        <f t="shared" si="0"/>
        <v>938.2746943949071</v>
      </c>
      <c r="M11" s="103">
        <f t="shared" si="1"/>
        <v>0</v>
      </c>
      <c r="N11" s="103">
        <f t="shared" si="2"/>
        <v>0</v>
      </c>
      <c r="O11" s="104">
        <f t="shared" si="3"/>
        <v>8135.3565974600197</v>
      </c>
      <c r="P11" s="103"/>
      <c r="Q11" s="103"/>
      <c r="R11" s="103"/>
      <c r="S11" s="103"/>
      <c r="T11" s="99">
        <f t="shared" si="4"/>
        <v>1159141</v>
      </c>
      <c r="U11" s="105">
        <f t="shared" si="5"/>
        <v>9073.6312918549265</v>
      </c>
      <c r="V11" s="100">
        <f>D11/$T$11*100</f>
        <v>10.340674689274213</v>
      </c>
      <c r="W11" s="106">
        <f>E11/$T$11*100</f>
        <v>0</v>
      </c>
      <c r="X11" s="106">
        <f>F11/$T$11*100</f>
        <v>0</v>
      </c>
      <c r="Y11" s="107">
        <f>G11/$T$11*100</f>
        <v>89.659325310725791</v>
      </c>
      <c r="AC11" s="108"/>
    </row>
    <row r="12" spans="1:29" x14ac:dyDescent="0.2">
      <c r="A12" s="1" t="s">
        <v>124</v>
      </c>
      <c r="B12" s="8" t="s">
        <v>9</v>
      </c>
      <c r="C12" s="13">
        <v>130.41766483297067</v>
      </c>
      <c r="D12" s="29">
        <v>557250</v>
      </c>
      <c r="E12" s="30"/>
      <c r="F12" s="30"/>
      <c r="G12" s="30"/>
      <c r="H12" s="30"/>
      <c r="I12" s="30"/>
      <c r="J12" s="30"/>
      <c r="K12" s="28"/>
      <c r="L12" s="28">
        <f t="shared" si="0"/>
        <v>4272.8107477900694</v>
      </c>
      <c r="M12" s="28">
        <f t="shared" si="1"/>
        <v>0</v>
      </c>
      <c r="N12" s="28">
        <f t="shared" si="2"/>
        <v>0</v>
      </c>
      <c r="O12" s="42">
        <f t="shared" si="3"/>
        <v>0</v>
      </c>
      <c r="P12" s="28"/>
      <c r="Q12" s="28"/>
      <c r="R12" s="28"/>
      <c r="S12" s="28"/>
      <c r="T12" s="8">
        <f t="shared" si="4"/>
        <v>557250</v>
      </c>
      <c r="U12" s="43">
        <f t="shared" si="5"/>
        <v>4272.8107477900694</v>
      </c>
      <c r="V12" s="13">
        <f>D12/$T$12*100</f>
        <v>100</v>
      </c>
      <c r="W12" s="4">
        <f>E12/$T$12*100</f>
        <v>0</v>
      </c>
      <c r="X12" s="4">
        <f>F12/$T$12*100</f>
        <v>0</v>
      </c>
      <c r="Y12" s="48">
        <f>G12/$T$12*100</f>
        <v>0</v>
      </c>
      <c r="AC12" s="14"/>
    </row>
    <row r="13" spans="1:29" x14ac:dyDescent="0.2">
      <c r="A13" s="1" t="s">
        <v>126</v>
      </c>
      <c r="B13" s="8" t="s">
        <v>10</v>
      </c>
      <c r="C13" s="13">
        <v>125.39322005484902</v>
      </c>
      <c r="D13" s="29">
        <v>496994</v>
      </c>
      <c r="E13" s="30"/>
      <c r="F13" s="30"/>
      <c r="G13" s="30">
        <v>4890</v>
      </c>
      <c r="H13" s="30"/>
      <c r="I13" s="30"/>
      <c r="J13" s="30"/>
      <c r="K13" s="28"/>
      <c r="L13" s="28">
        <f t="shared" si="0"/>
        <v>3963.4838293697758</v>
      </c>
      <c r="M13" s="28">
        <f t="shared" si="1"/>
        <v>0</v>
      </c>
      <c r="N13" s="28">
        <f t="shared" si="2"/>
        <v>0</v>
      </c>
      <c r="O13" s="42">
        <f t="shared" si="3"/>
        <v>38.997323761691696</v>
      </c>
      <c r="P13" s="28"/>
      <c r="Q13" s="28"/>
      <c r="R13" s="28"/>
      <c r="S13" s="28"/>
      <c r="T13" s="8">
        <f t="shared" si="4"/>
        <v>501884</v>
      </c>
      <c r="U13" s="43">
        <f t="shared" si="5"/>
        <v>4002.4811531314676</v>
      </c>
      <c r="V13" s="13">
        <f>D13/$T$13*100</f>
        <v>99.025671270652182</v>
      </c>
      <c r="W13" s="4">
        <f>E13/$T$13*100</f>
        <v>0</v>
      </c>
      <c r="X13" s="4">
        <f>F13/$T$13*100</f>
        <v>0</v>
      </c>
      <c r="Y13" s="48">
        <f>G13/$T$13*100</f>
        <v>0.97432872934781733</v>
      </c>
      <c r="AC13" s="14"/>
    </row>
    <row r="14" spans="1:29" x14ac:dyDescent="0.2">
      <c r="A14" s="1" t="s">
        <v>128</v>
      </c>
      <c r="B14" s="8" t="s">
        <v>11</v>
      </c>
      <c r="C14" s="13">
        <v>122.16499836554055</v>
      </c>
      <c r="D14" s="29">
        <v>524851</v>
      </c>
      <c r="E14" s="30"/>
      <c r="F14" s="30"/>
      <c r="G14" s="30"/>
      <c r="H14" s="30"/>
      <c r="I14" s="30"/>
      <c r="J14" s="30"/>
      <c r="K14" s="28"/>
      <c r="L14" s="28">
        <f t="shared" si="0"/>
        <v>4296.2469367007034</v>
      </c>
      <c r="M14" s="28">
        <f t="shared" si="1"/>
        <v>0</v>
      </c>
      <c r="N14" s="28">
        <f t="shared" si="2"/>
        <v>0</v>
      </c>
      <c r="O14" s="42">
        <f t="shared" si="3"/>
        <v>0</v>
      </c>
      <c r="P14" s="28"/>
      <c r="Q14" s="28"/>
      <c r="R14" s="28"/>
      <c r="S14" s="28"/>
      <c r="T14" s="8">
        <f t="shared" si="4"/>
        <v>524851</v>
      </c>
      <c r="U14" s="43">
        <f t="shared" si="5"/>
        <v>4296.2469367007034</v>
      </c>
      <c r="V14" s="13">
        <f>D14/$T$14*100</f>
        <v>100</v>
      </c>
      <c r="W14" s="4">
        <f>E14/$T$14*100</f>
        <v>0</v>
      </c>
      <c r="X14" s="4">
        <f>F14/$T$14*100</f>
        <v>0</v>
      </c>
      <c r="Y14" s="48">
        <f>G14/$T$14*100</f>
        <v>0</v>
      </c>
      <c r="AC14" s="14"/>
    </row>
    <row r="15" spans="1:29" x14ac:dyDescent="0.2">
      <c r="A15" s="1" t="s">
        <v>130</v>
      </c>
      <c r="B15" s="8" t="s">
        <v>12</v>
      </c>
      <c r="C15" s="13">
        <v>146.87068065753425</v>
      </c>
      <c r="D15" s="29">
        <v>30612</v>
      </c>
      <c r="E15" s="30"/>
      <c r="F15" s="30"/>
      <c r="G15" s="30">
        <v>283781</v>
      </c>
      <c r="H15" s="30"/>
      <c r="I15" s="30"/>
      <c r="J15" s="30"/>
      <c r="K15" s="28"/>
      <c r="L15" s="28">
        <f t="shared" si="0"/>
        <v>208.4282571780241</v>
      </c>
      <c r="M15" s="28">
        <f t="shared" si="1"/>
        <v>0</v>
      </c>
      <c r="N15" s="28">
        <f t="shared" si="2"/>
        <v>0</v>
      </c>
      <c r="O15" s="42">
        <f t="shared" si="3"/>
        <v>1932.1827796366413</v>
      </c>
      <c r="P15" s="28"/>
      <c r="Q15" s="28"/>
      <c r="R15" s="28"/>
      <c r="S15" s="28"/>
      <c r="T15" s="8">
        <f t="shared" si="4"/>
        <v>314393</v>
      </c>
      <c r="U15" s="43">
        <f t="shared" si="5"/>
        <v>2140.6110368146656</v>
      </c>
      <c r="V15" s="13">
        <f>D15/$T$15*100</f>
        <v>9.736858008925136</v>
      </c>
      <c r="W15" s="4">
        <f>E15/$T$15*100</f>
        <v>0</v>
      </c>
      <c r="X15" s="4">
        <f>F15/$T$15*100</f>
        <v>0</v>
      </c>
      <c r="Y15" s="48">
        <f>G15/$T$15*100</f>
        <v>90.263141991074875</v>
      </c>
      <c r="AC15" s="14"/>
    </row>
    <row r="16" spans="1:29" x14ac:dyDescent="0.2">
      <c r="A16" s="1" t="s">
        <v>132</v>
      </c>
      <c r="B16" s="8" t="s">
        <v>13</v>
      </c>
      <c r="C16" s="13">
        <v>130.89217923422584</v>
      </c>
      <c r="D16" s="29">
        <v>55154</v>
      </c>
      <c r="E16" s="30"/>
      <c r="F16" s="30"/>
      <c r="G16" s="30">
        <v>455445</v>
      </c>
      <c r="H16" s="30"/>
      <c r="I16" s="30"/>
      <c r="J16" s="30"/>
      <c r="K16" s="28"/>
      <c r="L16" s="28">
        <f t="shared" si="0"/>
        <v>421.36971301627062</v>
      </c>
      <c r="M16" s="28">
        <f t="shared" si="1"/>
        <v>0</v>
      </c>
      <c r="N16" s="28">
        <f t="shared" si="2"/>
        <v>0</v>
      </c>
      <c r="O16" s="42">
        <f t="shared" si="3"/>
        <v>3479.5432596855239</v>
      </c>
      <c r="P16" s="28"/>
      <c r="Q16" s="28"/>
      <c r="R16" s="28"/>
      <c r="S16" s="28"/>
      <c r="T16" s="8">
        <f t="shared" si="4"/>
        <v>510599</v>
      </c>
      <c r="U16" s="43">
        <f t="shared" si="5"/>
        <v>3900.9129727017944</v>
      </c>
      <c r="V16" s="13">
        <f>D16/$T$16*100</f>
        <v>10.801822956958397</v>
      </c>
      <c r="W16" s="4">
        <f>E16/$T$16*100</f>
        <v>0</v>
      </c>
      <c r="X16" s="4">
        <f>F16/$T$16*100</f>
        <v>0</v>
      </c>
      <c r="Y16" s="48">
        <f>G16/$T$16*100</f>
        <v>89.198177043041611</v>
      </c>
      <c r="AC16" s="14"/>
    </row>
    <row r="17" spans="1:29" ht="16" thickBot="1" x14ac:dyDescent="0.25">
      <c r="A17" s="1" t="s">
        <v>134</v>
      </c>
      <c r="B17" s="8" t="s">
        <v>14</v>
      </c>
      <c r="C17" s="13">
        <v>68.818694063301194</v>
      </c>
      <c r="D17" s="29">
        <v>23634</v>
      </c>
      <c r="E17" s="30"/>
      <c r="F17" s="30"/>
      <c r="G17" s="30">
        <v>519972</v>
      </c>
      <c r="H17" s="30"/>
      <c r="I17" s="30"/>
      <c r="J17" s="30"/>
      <c r="K17" s="28"/>
      <c r="L17" s="28">
        <f t="shared" si="0"/>
        <v>343.42412801761162</v>
      </c>
      <c r="M17" s="28">
        <f t="shared" si="1"/>
        <v>0</v>
      </c>
      <c r="N17" s="28">
        <f t="shared" si="2"/>
        <v>0</v>
      </c>
      <c r="O17" s="42">
        <f t="shared" si="3"/>
        <v>7555.6795588378418</v>
      </c>
      <c r="P17" s="28"/>
      <c r="Q17" s="28"/>
      <c r="R17" s="28"/>
      <c r="S17" s="28"/>
      <c r="T17" s="8">
        <f t="shared" si="4"/>
        <v>543606</v>
      </c>
      <c r="U17" s="43">
        <f t="shared" si="5"/>
        <v>7899.1036868554538</v>
      </c>
      <c r="V17" s="13">
        <f>D17/$T$17*100</f>
        <v>4.3476341320735976</v>
      </c>
      <c r="W17" s="4">
        <f>E17/$T$17*100</f>
        <v>0</v>
      </c>
      <c r="X17" s="4">
        <f>F17/$T$17*100</f>
        <v>0</v>
      </c>
      <c r="Y17" s="48">
        <f>G17/$T$17*100</f>
        <v>95.652365867926406</v>
      </c>
      <c r="AC17" s="14"/>
    </row>
    <row r="18" spans="1:29" s="95" customFormat="1" x14ac:dyDescent="0.2">
      <c r="A18" s="109" t="s">
        <v>136</v>
      </c>
      <c r="B18" s="88" t="s">
        <v>15</v>
      </c>
      <c r="C18" s="89">
        <v>130.65055284958299</v>
      </c>
      <c r="D18" s="90">
        <v>41623</v>
      </c>
      <c r="E18" s="91"/>
      <c r="F18" s="91"/>
      <c r="G18" s="91">
        <v>424551</v>
      </c>
      <c r="H18" s="91"/>
      <c r="I18" s="91"/>
      <c r="J18" s="91"/>
      <c r="K18" s="92"/>
      <c r="L18" s="92">
        <f t="shared" si="0"/>
        <v>318.58265496909337</v>
      </c>
      <c r="M18" s="92">
        <f t="shared" si="1"/>
        <v>0</v>
      </c>
      <c r="N18" s="92">
        <f t="shared" si="2"/>
        <v>0</v>
      </c>
      <c r="O18" s="93">
        <f t="shared" si="3"/>
        <v>3249.5155262663329</v>
      </c>
      <c r="P18" s="92"/>
      <c r="Q18" s="92"/>
      <c r="R18" s="92"/>
      <c r="S18" s="92"/>
      <c r="T18" s="88">
        <f t="shared" si="4"/>
        <v>466174</v>
      </c>
      <c r="U18" s="94">
        <f t="shared" si="5"/>
        <v>3568.0981812354262</v>
      </c>
      <c r="V18" s="89">
        <f>D18/$T$18*100</f>
        <v>8.9286403789143112</v>
      </c>
      <c r="W18" s="95">
        <f>E18/$T$18*100</f>
        <v>0</v>
      </c>
      <c r="X18" s="95">
        <f>F18/$T$18*100</f>
        <v>0</v>
      </c>
      <c r="Y18" s="96">
        <f>G18/$T$18*100</f>
        <v>91.071359621085691</v>
      </c>
      <c r="AC18" s="97"/>
    </row>
    <row r="19" spans="1:29" x14ac:dyDescent="0.2">
      <c r="A19" s="110" t="s">
        <v>138</v>
      </c>
      <c r="B19" s="8" t="s">
        <v>16</v>
      </c>
      <c r="C19" s="13">
        <v>110.44600086309183</v>
      </c>
      <c r="D19" s="29">
        <v>35949</v>
      </c>
      <c r="E19" s="30"/>
      <c r="F19" s="30"/>
      <c r="G19" s="30">
        <v>456703</v>
      </c>
      <c r="H19" s="30"/>
      <c r="I19" s="30"/>
      <c r="J19" s="30"/>
      <c r="K19" s="28"/>
      <c r="L19" s="28">
        <f t="shared" si="0"/>
        <v>325.4893768816687</v>
      </c>
      <c r="M19" s="28">
        <f t="shared" si="1"/>
        <v>0</v>
      </c>
      <c r="N19" s="28">
        <f t="shared" si="2"/>
        <v>0</v>
      </c>
      <c r="O19" s="42">
        <f t="shared" si="3"/>
        <v>4135.0795540902036</v>
      </c>
      <c r="P19" s="28"/>
      <c r="Q19" s="28"/>
      <c r="R19" s="28"/>
      <c r="S19" s="28"/>
      <c r="T19" s="8">
        <f t="shared" si="4"/>
        <v>492652</v>
      </c>
      <c r="U19" s="43">
        <f t="shared" si="5"/>
        <v>4460.5689309718728</v>
      </c>
      <c r="V19" s="13">
        <f>D19/$T$19*100</f>
        <v>7.2970372595665909</v>
      </c>
      <c r="W19" s="4">
        <f>E19/$T$19*100</f>
        <v>0</v>
      </c>
      <c r="X19" s="4">
        <f>F19/$T$19*100</f>
        <v>0</v>
      </c>
      <c r="Y19" s="48">
        <f>G19/$T$19*100</f>
        <v>92.702962740433421</v>
      </c>
      <c r="AC19" s="14"/>
    </row>
    <row r="20" spans="1:29" s="106" customFormat="1" ht="16" thickBot="1" x14ac:dyDescent="0.25">
      <c r="A20" s="111" t="s">
        <v>140</v>
      </c>
      <c r="B20" s="99" t="s">
        <v>17</v>
      </c>
      <c r="C20" s="100">
        <v>117.52188726819432</v>
      </c>
      <c r="D20" s="101">
        <v>61280</v>
      </c>
      <c r="E20" s="102"/>
      <c r="F20" s="102"/>
      <c r="G20" s="102">
        <v>512831</v>
      </c>
      <c r="H20" s="102"/>
      <c r="I20" s="102"/>
      <c r="J20" s="102"/>
      <c r="K20" s="103"/>
      <c r="L20" s="103">
        <f t="shared" si="0"/>
        <v>521.43478482569083</v>
      </c>
      <c r="M20" s="103">
        <f t="shared" si="1"/>
        <v>0</v>
      </c>
      <c r="N20" s="103">
        <f t="shared" si="2"/>
        <v>0</v>
      </c>
      <c r="O20" s="104">
        <f t="shared" si="3"/>
        <v>4363.7063011903374</v>
      </c>
      <c r="P20" s="103"/>
      <c r="Q20" s="103"/>
      <c r="R20" s="103"/>
      <c r="S20" s="103"/>
      <c r="T20" s="99">
        <f t="shared" si="4"/>
        <v>574111</v>
      </c>
      <c r="U20" s="105">
        <f t="shared" si="5"/>
        <v>4885.1410860160286</v>
      </c>
      <c r="V20" s="100">
        <f>D20/$T$20*100</f>
        <v>10.673894072748997</v>
      </c>
      <c r="W20" s="106">
        <f>E20/$T$20*100</f>
        <v>0</v>
      </c>
      <c r="X20" s="106">
        <f>F20/$T$20*100</f>
        <v>0</v>
      </c>
      <c r="Y20" s="107">
        <f>G20/$T$20*100</f>
        <v>89.326105927250993</v>
      </c>
      <c r="AC20" s="108"/>
    </row>
    <row r="21" spans="1:29" x14ac:dyDescent="0.2">
      <c r="A21" s="51" t="s">
        <v>70</v>
      </c>
      <c r="B21" s="8" t="s">
        <v>18</v>
      </c>
      <c r="C21" s="13">
        <v>97.198118384657477</v>
      </c>
      <c r="D21" s="29">
        <v>748446</v>
      </c>
      <c r="E21" s="30"/>
      <c r="F21" s="30"/>
      <c r="G21" s="30"/>
      <c r="H21" s="30"/>
      <c r="I21" s="30"/>
      <c r="J21" s="30"/>
      <c r="K21" s="28"/>
      <c r="L21" s="28">
        <f t="shared" si="0"/>
        <v>7700.2107904811119</v>
      </c>
      <c r="M21" s="28">
        <f t="shared" si="1"/>
        <v>0</v>
      </c>
      <c r="N21" s="28">
        <f t="shared" si="2"/>
        <v>0</v>
      </c>
      <c r="O21" s="42">
        <f t="shared" si="3"/>
        <v>0</v>
      </c>
      <c r="P21" s="28"/>
      <c r="Q21" s="28"/>
      <c r="R21" s="28"/>
      <c r="S21" s="28"/>
      <c r="T21" s="8">
        <f t="shared" si="4"/>
        <v>748446</v>
      </c>
      <c r="U21" s="43">
        <f t="shared" si="5"/>
        <v>7700.2107904811119</v>
      </c>
      <c r="V21" s="13">
        <f>D21/$T$21*100</f>
        <v>100</v>
      </c>
      <c r="W21" s="4">
        <f>E21/$T$21*100</f>
        <v>0</v>
      </c>
      <c r="X21" s="4">
        <f>F21/$T$21*100</f>
        <v>0</v>
      </c>
      <c r="Y21" s="48">
        <f>G21/$T$21*100</f>
        <v>0</v>
      </c>
      <c r="AC21" s="14"/>
    </row>
    <row r="22" spans="1:29" x14ac:dyDescent="0.2">
      <c r="A22" s="1" t="s">
        <v>72</v>
      </c>
      <c r="B22" s="8" t="s">
        <v>19</v>
      </c>
      <c r="C22" s="13">
        <v>127.31000379392765</v>
      </c>
      <c r="D22" s="29">
        <v>726830</v>
      </c>
      <c r="E22" s="30"/>
      <c r="F22" s="30"/>
      <c r="G22" s="30"/>
      <c r="H22" s="30"/>
      <c r="I22" s="30"/>
      <c r="J22" s="30"/>
      <c r="K22" s="28"/>
      <c r="L22" s="28">
        <f t="shared" si="0"/>
        <v>5709.1350117033608</v>
      </c>
      <c r="M22" s="28">
        <f t="shared" si="1"/>
        <v>0</v>
      </c>
      <c r="N22" s="28">
        <f t="shared" si="2"/>
        <v>0</v>
      </c>
      <c r="O22" s="42">
        <f t="shared" si="3"/>
        <v>0</v>
      </c>
      <c r="P22" s="28"/>
      <c r="Q22" s="28"/>
      <c r="R22" s="28"/>
      <c r="S22" s="28"/>
      <c r="T22" s="8">
        <f t="shared" si="4"/>
        <v>726830</v>
      </c>
      <c r="U22" s="43">
        <f t="shared" si="5"/>
        <v>5709.1350117033608</v>
      </c>
      <c r="V22" s="13">
        <f>D22/$T$22*100</f>
        <v>100</v>
      </c>
      <c r="W22" s="4">
        <f>E22/$T$22*100</f>
        <v>0</v>
      </c>
      <c r="X22" s="4">
        <f>F22/$T$22*100</f>
        <v>0</v>
      </c>
      <c r="Y22" s="48">
        <f>G22/$T$22*100</f>
        <v>0</v>
      </c>
      <c r="AC22" s="14"/>
    </row>
    <row r="23" spans="1:29" ht="16" x14ac:dyDescent="0.2">
      <c r="A23" s="52" t="s">
        <v>74</v>
      </c>
      <c r="B23" s="8" t="s">
        <v>20</v>
      </c>
      <c r="C23" s="13">
        <v>143.4385517594913</v>
      </c>
      <c r="D23" s="29">
        <v>771312</v>
      </c>
      <c r="E23" s="30"/>
      <c r="F23" s="30"/>
      <c r="G23" s="30"/>
      <c r="H23" s="30"/>
      <c r="I23" s="30"/>
      <c r="J23" s="30"/>
      <c r="K23" s="28"/>
      <c r="L23" s="28">
        <f t="shared" si="0"/>
        <v>5377.299132894811</v>
      </c>
      <c r="M23" s="28">
        <f t="shared" si="1"/>
        <v>0</v>
      </c>
      <c r="N23" s="28">
        <f t="shared" si="2"/>
        <v>0</v>
      </c>
      <c r="O23" s="42">
        <f t="shared" si="3"/>
        <v>0</v>
      </c>
      <c r="P23" s="28"/>
      <c r="Q23" s="28"/>
      <c r="R23" s="28"/>
      <c r="S23" s="28"/>
      <c r="T23" s="8">
        <f t="shared" si="4"/>
        <v>771312</v>
      </c>
      <c r="U23" s="43">
        <f t="shared" si="5"/>
        <v>5377.299132894811</v>
      </c>
      <c r="V23" s="13">
        <f>D23/$T$23*100</f>
        <v>100</v>
      </c>
      <c r="W23" s="4">
        <f>E23/$T$23*100</f>
        <v>0</v>
      </c>
      <c r="X23" s="4">
        <f>F23/$T$23*100</f>
        <v>0</v>
      </c>
      <c r="Y23" s="48">
        <f>G23/$T$23*100</f>
        <v>0</v>
      </c>
      <c r="AC23" s="14"/>
    </row>
    <row r="24" spans="1:29" ht="16" x14ac:dyDescent="0.2">
      <c r="A24" s="52" t="s">
        <v>76</v>
      </c>
      <c r="B24" s="8" t="s">
        <v>21</v>
      </c>
      <c r="C24" s="13">
        <v>110.74207412094421</v>
      </c>
      <c r="D24" s="29">
        <v>133871</v>
      </c>
      <c r="E24" s="30"/>
      <c r="F24" s="30"/>
      <c r="G24" s="30">
        <v>459023</v>
      </c>
      <c r="H24" s="30"/>
      <c r="I24" s="30"/>
      <c r="J24" s="30"/>
      <c r="K24" s="28"/>
      <c r="L24" s="28">
        <f t="shared" si="0"/>
        <v>1208.8540065973129</v>
      </c>
      <c r="M24" s="28">
        <f t="shared" si="1"/>
        <v>0</v>
      </c>
      <c r="N24" s="28">
        <f t="shared" si="2"/>
        <v>0</v>
      </c>
      <c r="O24" s="42">
        <f t="shared" si="3"/>
        <v>4144.9738380255494</v>
      </c>
      <c r="P24" s="28"/>
      <c r="Q24" s="28"/>
      <c r="R24" s="28"/>
      <c r="S24" s="28"/>
      <c r="T24" s="8">
        <f t="shared" si="4"/>
        <v>592894</v>
      </c>
      <c r="U24" s="43">
        <f t="shared" si="5"/>
        <v>5353.8278446228624</v>
      </c>
      <c r="V24" s="13">
        <f>D24/$T$24*100</f>
        <v>22.579246880555377</v>
      </c>
      <c r="W24" s="4">
        <f>E24/$T$24*100</f>
        <v>0</v>
      </c>
      <c r="X24" s="4">
        <f>F24/$T$24*100</f>
        <v>0</v>
      </c>
      <c r="Y24" s="48">
        <f>G24/$T$24*100</f>
        <v>77.420753119444612</v>
      </c>
      <c r="AC24" s="14"/>
    </row>
    <row r="25" spans="1:29" ht="16" x14ac:dyDescent="0.2">
      <c r="A25" s="52" t="s">
        <v>78</v>
      </c>
      <c r="B25" s="8" t="s">
        <v>22</v>
      </c>
      <c r="C25" s="13">
        <v>137.29877325454129</v>
      </c>
      <c r="D25" s="29">
        <v>174881</v>
      </c>
      <c r="E25" s="30"/>
      <c r="F25" s="30"/>
      <c r="G25" s="30">
        <v>435137</v>
      </c>
      <c r="H25" s="30"/>
      <c r="I25" s="30"/>
      <c r="J25" s="30"/>
      <c r="K25" s="28"/>
      <c r="L25" s="28">
        <f t="shared" si="0"/>
        <v>1273.725874271172</v>
      </c>
      <c r="M25" s="28">
        <f t="shared" si="1"/>
        <v>0</v>
      </c>
      <c r="N25" s="28">
        <f t="shared" si="2"/>
        <v>0</v>
      </c>
      <c r="O25" s="42">
        <f t="shared" si="3"/>
        <v>3169.270851337395</v>
      </c>
      <c r="P25" s="28"/>
      <c r="Q25" s="28"/>
      <c r="R25" s="28"/>
      <c r="S25" s="28"/>
      <c r="T25" s="8">
        <f t="shared" si="4"/>
        <v>610018</v>
      </c>
      <c r="U25" s="43">
        <f t="shared" si="5"/>
        <v>4442.9967256085674</v>
      </c>
      <c r="V25" s="13">
        <f>D25/$T$25*100</f>
        <v>28.668170447429418</v>
      </c>
      <c r="W25" s="4">
        <f>E25/$T$25*100</f>
        <v>0</v>
      </c>
      <c r="X25" s="4">
        <f>F25/$T$25*100</f>
        <v>0</v>
      </c>
      <c r="Y25" s="48">
        <f>G25/$T$25*100</f>
        <v>71.331829552570582</v>
      </c>
      <c r="AC25" s="14"/>
    </row>
    <row r="26" spans="1:29" ht="17" thickBot="1" x14ac:dyDescent="0.25">
      <c r="A26" s="52" t="s">
        <v>80</v>
      </c>
      <c r="B26" s="8" t="s">
        <v>23</v>
      </c>
      <c r="C26" s="13">
        <v>136.74822250998346</v>
      </c>
      <c r="D26" s="29">
        <v>135036</v>
      </c>
      <c r="E26" s="30"/>
      <c r="F26" s="30"/>
      <c r="G26" s="30">
        <v>445531</v>
      </c>
      <c r="H26" s="30"/>
      <c r="I26" s="30"/>
      <c r="J26" s="30"/>
      <c r="K26" s="28"/>
      <c r="L26" s="28">
        <f t="shared" si="0"/>
        <v>987.47901450888355</v>
      </c>
      <c r="M26" s="28">
        <f t="shared" si="1"/>
        <v>0</v>
      </c>
      <c r="N26" s="28">
        <f t="shared" si="2"/>
        <v>0</v>
      </c>
      <c r="O26" s="42">
        <f t="shared" si="3"/>
        <v>3258.0386920018173</v>
      </c>
      <c r="P26" s="28"/>
      <c r="Q26" s="28"/>
      <c r="R26" s="28"/>
      <c r="S26" s="28"/>
      <c r="T26" s="8">
        <f t="shared" si="4"/>
        <v>580567</v>
      </c>
      <c r="U26" s="43">
        <f t="shared" si="5"/>
        <v>4245.5177065107009</v>
      </c>
      <c r="V26" s="13">
        <f>D26/$T$26*100</f>
        <v>23.259330964384816</v>
      </c>
      <c r="W26" s="4">
        <f>E26/$T$26*100</f>
        <v>0</v>
      </c>
      <c r="X26" s="4">
        <f>F26/$T$26*100</f>
        <v>0</v>
      </c>
      <c r="Y26" s="48">
        <f>G26/$T$26*100</f>
        <v>76.740669035615184</v>
      </c>
      <c r="AC26" s="14"/>
    </row>
    <row r="27" spans="1:29" s="95" customFormat="1" x14ac:dyDescent="0.2">
      <c r="A27" s="109" t="s">
        <v>82</v>
      </c>
      <c r="B27" s="88" t="s">
        <v>24</v>
      </c>
      <c r="C27" s="89">
        <v>117.01602075231662</v>
      </c>
      <c r="D27" s="90">
        <v>116478</v>
      </c>
      <c r="E27" s="91"/>
      <c r="F27" s="91"/>
      <c r="G27" s="91">
        <v>507187</v>
      </c>
      <c r="H27" s="91"/>
      <c r="I27" s="91"/>
      <c r="J27" s="91"/>
      <c r="K27" s="92"/>
      <c r="L27" s="92">
        <f t="shared" si="0"/>
        <v>995.40216161122567</v>
      </c>
      <c r="M27" s="92">
        <f t="shared" si="1"/>
        <v>0</v>
      </c>
      <c r="N27" s="92">
        <f t="shared" si="2"/>
        <v>0</v>
      </c>
      <c r="O27" s="93">
        <f t="shared" si="3"/>
        <v>4334.3381251490637</v>
      </c>
      <c r="P27" s="92"/>
      <c r="Q27" s="92"/>
      <c r="R27" s="92"/>
      <c r="S27" s="92"/>
      <c r="T27" s="88">
        <f t="shared" si="4"/>
        <v>623665</v>
      </c>
      <c r="U27" s="94">
        <f t="shared" si="5"/>
        <v>5329.7402867602896</v>
      </c>
      <c r="V27" s="89">
        <f>D27/$T$27*100</f>
        <v>18.676372732155887</v>
      </c>
      <c r="W27" s="95">
        <f>E27/$T$27*100</f>
        <v>0</v>
      </c>
      <c r="X27" s="95">
        <f>F27/$T$27*100</f>
        <v>0</v>
      </c>
      <c r="Y27" s="96">
        <f>G27/$T$27*100</f>
        <v>81.323627267844117</v>
      </c>
      <c r="AC27" s="97"/>
    </row>
    <row r="28" spans="1:29" x14ac:dyDescent="0.2">
      <c r="A28" s="110" t="s">
        <v>84</v>
      </c>
      <c r="B28" s="8" t="s">
        <v>25</v>
      </c>
      <c r="C28" s="13">
        <v>124.6589491999994</v>
      </c>
      <c r="D28" s="29">
        <v>152572</v>
      </c>
      <c r="E28" s="30"/>
      <c r="F28" s="30"/>
      <c r="G28" s="30">
        <v>596939</v>
      </c>
      <c r="H28" s="30"/>
      <c r="I28" s="30"/>
      <c r="J28" s="30"/>
      <c r="K28" s="28"/>
      <c r="L28" s="28">
        <f t="shared" si="0"/>
        <v>1223.9153384424706</v>
      </c>
      <c r="M28" s="28">
        <f t="shared" si="1"/>
        <v>0</v>
      </c>
      <c r="N28" s="28">
        <f t="shared" si="2"/>
        <v>0</v>
      </c>
      <c r="O28" s="42">
        <f t="shared" si="3"/>
        <v>4788.5771846374819</v>
      </c>
      <c r="P28" s="28"/>
      <c r="Q28" s="28"/>
      <c r="R28" s="28"/>
      <c r="S28" s="28"/>
      <c r="T28" s="8">
        <f t="shared" si="4"/>
        <v>749511</v>
      </c>
      <c r="U28" s="43">
        <f t="shared" si="5"/>
        <v>6012.4925230799527</v>
      </c>
      <c r="V28" s="13">
        <f>D28/$T$28*100</f>
        <v>20.356205579371085</v>
      </c>
      <c r="W28" s="4">
        <f>E28/$T$28*100</f>
        <v>0</v>
      </c>
      <c r="X28" s="4">
        <f>F28/$T$28*100</f>
        <v>0</v>
      </c>
      <c r="Y28" s="48">
        <f>G28/$T$28*100</f>
        <v>79.643794420628922</v>
      </c>
      <c r="AC28" s="14"/>
    </row>
    <row r="29" spans="1:29" s="106" customFormat="1" ht="17" thickBot="1" x14ac:dyDescent="0.25">
      <c r="A29" s="98" t="s">
        <v>86</v>
      </c>
      <c r="B29" s="99" t="s">
        <v>26</v>
      </c>
      <c r="C29" s="100">
        <v>131.82322224628973</v>
      </c>
      <c r="D29" s="101">
        <v>139025</v>
      </c>
      <c r="E29" s="102"/>
      <c r="F29" s="102"/>
      <c r="G29" s="102">
        <v>488295</v>
      </c>
      <c r="H29" s="102"/>
      <c r="I29" s="102"/>
      <c r="J29" s="102"/>
      <c r="K29" s="103"/>
      <c r="L29" s="103">
        <f t="shared" si="0"/>
        <v>1054.6320870556096</v>
      </c>
      <c r="M29" s="103">
        <f t="shared" si="1"/>
        <v>0</v>
      </c>
      <c r="N29" s="103">
        <f t="shared" si="2"/>
        <v>0</v>
      </c>
      <c r="O29" s="104">
        <f t="shared" si="3"/>
        <v>3704.1652576789706</v>
      </c>
      <c r="P29" s="103"/>
      <c r="Q29" s="103"/>
      <c r="R29" s="103"/>
      <c r="S29" s="103"/>
      <c r="T29" s="99">
        <f t="shared" si="4"/>
        <v>627320</v>
      </c>
      <c r="U29" s="105">
        <f t="shared" si="5"/>
        <v>4758.7973447345803</v>
      </c>
      <c r="V29" s="100">
        <f>D29/$T$29*100</f>
        <v>22.16173563731429</v>
      </c>
      <c r="W29" s="106">
        <f>E29/$T$29*100</f>
        <v>0</v>
      </c>
      <c r="X29" s="106">
        <f>F29/$T$29*100</f>
        <v>0</v>
      </c>
      <c r="Y29" s="107">
        <f>G29/$T$29*100</f>
        <v>77.838264362685706</v>
      </c>
      <c r="AC29" s="108"/>
    </row>
    <row r="30" spans="1:29" x14ac:dyDescent="0.2">
      <c r="A30" s="1" t="s">
        <v>88</v>
      </c>
      <c r="B30" s="8" t="s">
        <v>27</v>
      </c>
      <c r="C30" s="13">
        <v>120.13545845490287</v>
      </c>
      <c r="D30" s="29">
        <v>627694</v>
      </c>
      <c r="E30" s="30"/>
      <c r="F30" s="30"/>
      <c r="G30" s="30"/>
      <c r="H30" s="30"/>
      <c r="I30" s="30"/>
      <c r="J30" s="30"/>
      <c r="K30" s="28"/>
      <c r="L30" s="28">
        <f t="shared" si="0"/>
        <v>5224.8853758328751</v>
      </c>
      <c r="M30" s="28">
        <f t="shared" si="1"/>
        <v>0</v>
      </c>
      <c r="N30" s="28">
        <f t="shared" si="2"/>
        <v>0</v>
      </c>
      <c r="O30" s="42">
        <f t="shared" si="3"/>
        <v>0</v>
      </c>
      <c r="P30" s="28"/>
      <c r="Q30" s="28"/>
      <c r="R30" s="28"/>
      <c r="S30" s="28"/>
      <c r="T30" s="8">
        <f t="shared" si="4"/>
        <v>627694</v>
      </c>
      <c r="U30" s="43">
        <f t="shared" si="5"/>
        <v>5224.8853758328751</v>
      </c>
      <c r="V30" s="13">
        <f>D30/$T$30*100</f>
        <v>100</v>
      </c>
      <c r="W30" s="4">
        <f>E30/$T$30*100</f>
        <v>0</v>
      </c>
      <c r="X30" s="4">
        <f>F30/$T$30*100</f>
        <v>0</v>
      </c>
      <c r="Y30" s="48">
        <f>G30/$T$30*100</f>
        <v>0</v>
      </c>
      <c r="AC30" s="14"/>
    </row>
    <row r="31" spans="1:29" x14ac:dyDescent="0.2">
      <c r="A31" s="1" t="s">
        <v>90</v>
      </c>
      <c r="B31" s="8" t="s">
        <v>28</v>
      </c>
      <c r="C31" s="13">
        <v>133.6306416614492</v>
      </c>
      <c r="D31" s="29">
        <v>570285</v>
      </c>
      <c r="E31" s="30"/>
      <c r="F31" s="30"/>
      <c r="G31" s="30"/>
      <c r="H31" s="30"/>
      <c r="I31" s="30"/>
      <c r="J31" s="30"/>
      <c r="K31" s="28"/>
      <c r="L31" s="28">
        <f t="shared" si="0"/>
        <v>4267.6215043912362</v>
      </c>
      <c r="M31" s="28">
        <f t="shared" si="1"/>
        <v>0</v>
      </c>
      <c r="N31" s="28">
        <f t="shared" si="2"/>
        <v>0</v>
      </c>
      <c r="O31" s="42">
        <f t="shared" si="3"/>
        <v>0</v>
      </c>
      <c r="P31" s="28"/>
      <c r="Q31" s="28"/>
      <c r="R31" s="28"/>
      <c r="S31" s="28"/>
      <c r="T31" s="8">
        <f t="shared" si="4"/>
        <v>570285</v>
      </c>
      <c r="U31" s="43">
        <f t="shared" si="5"/>
        <v>4267.6215043912362</v>
      </c>
      <c r="V31" s="13">
        <f>D31/$T$31*100</f>
        <v>100</v>
      </c>
      <c r="W31" s="4">
        <f>E31/$T$31*100</f>
        <v>0</v>
      </c>
      <c r="X31" s="4">
        <f>F31/$T$31*100</f>
        <v>0</v>
      </c>
      <c r="Y31" s="48">
        <f>G31/$T$31*100</f>
        <v>0</v>
      </c>
      <c r="AC31" s="14"/>
    </row>
    <row r="32" spans="1:29" x14ac:dyDescent="0.2">
      <c r="A32" s="1" t="s">
        <v>92</v>
      </c>
      <c r="B32" s="8" t="s">
        <v>29</v>
      </c>
      <c r="C32" s="13">
        <v>89.665815943679206</v>
      </c>
      <c r="D32" s="29">
        <v>604598</v>
      </c>
      <c r="E32" s="30"/>
      <c r="F32" s="30"/>
      <c r="G32" s="30"/>
      <c r="H32" s="30"/>
      <c r="I32" s="30"/>
      <c r="J32" s="30"/>
      <c r="K32" s="28"/>
      <c r="L32" s="28">
        <f t="shared" si="0"/>
        <v>6742.7925975687258</v>
      </c>
      <c r="M32" s="28">
        <f t="shared" si="1"/>
        <v>0</v>
      </c>
      <c r="N32" s="28">
        <f t="shared" si="2"/>
        <v>0</v>
      </c>
      <c r="O32" s="42">
        <f t="shared" si="3"/>
        <v>0</v>
      </c>
      <c r="P32" s="28"/>
      <c r="Q32" s="28"/>
      <c r="R32" s="28"/>
      <c r="S32" s="28"/>
      <c r="T32" s="8">
        <f t="shared" si="4"/>
        <v>604598</v>
      </c>
      <c r="U32" s="43">
        <f t="shared" si="5"/>
        <v>6742.7925975687258</v>
      </c>
      <c r="V32" s="13">
        <f>D32/$T$32*100</f>
        <v>100</v>
      </c>
      <c r="W32" s="4">
        <f>E32/$T$32*100</f>
        <v>0</v>
      </c>
      <c r="X32" s="4">
        <f>F32/$T$32*100</f>
        <v>0</v>
      </c>
      <c r="Y32" s="48">
        <f>G32/$T$32*100</f>
        <v>0</v>
      </c>
      <c r="AC32" s="14"/>
    </row>
    <row r="33" spans="1:29" x14ac:dyDescent="0.2">
      <c r="A33" s="1" t="s">
        <v>94</v>
      </c>
      <c r="B33" s="8" t="s">
        <v>30</v>
      </c>
      <c r="C33" s="13">
        <v>117.18257637794109</v>
      </c>
      <c r="D33" s="29">
        <v>126755</v>
      </c>
      <c r="E33" s="30"/>
      <c r="F33" s="30"/>
      <c r="G33" s="30">
        <v>368546</v>
      </c>
      <c r="H33" s="30"/>
      <c r="I33" s="30"/>
      <c r="J33" s="30"/>
      <c r="K33" s="28"/>
      <c r="L33" s="28">
        <f t="shared" si="0"/>
        <v>1081.6881136935035</v>
      </c>
      <c r="M33" s="28">
        <f t="shared" si="1"/>
        <v>0</v>
      </c>
      <c r="N33" s="28">
        <f t="shared" si="2"/>
        <v>0</v>
      </c>
      <c r="O33" s="42">
        <f t="shared" si="3"/>
        <v>3145.0580059901854</v>
      </c>
      <c r="P33" s="28"/>
      <c r="Q33" s="28"/>
      <c r="R33" s="28"/>
      <c r="S33" s="28"/>
      <c r="T33" s="8">
        <f t="shared" si="4"/>
        <v>495301</v>
      </c>
      <c r="U33" s="43">
        <f t="shared" si="5"/>
        <v>4226.7461196836884</v>
      </c>
      <c r="V33" s="13">
        <f>D33/$T$33*100</f>
        <v>25.591509001597007</v>
      </c>
      <c r="W33" s="4">
        <f>E33/$T$33*100</f>
        <v>0</v>
      </c>
      <c r="X33" s="4">
        <f>F33/$T$33*100</f>
        <v>0</v>
      </c>
      <c r="Y33" s="48">
        <f>G33/$T$33*100</f>
        <v>74.408490998402982</v>
      </c>
      <c r="AC33" s="14"/>
    </row>
    <row r="34" spans="1:29" x14ac:dyDescent="0.2">
      <c r="A34" s="1" t="s">
        <v>96</v>
      </c>
      <c r="B34" s="8" t="s">
        <v>31</v>
      </c>
      <c r="C34" s="13">
        <v>93.866959001563146</v>
      </c>
      <c r="D34" s="29">
        <v>144393</v>
      </c>
      <c r="E34" s="30"/>
      <c r="F34" s="30"/>
      <c r="G34" s="30">
        <v>359401</v>
      </c>
      <c r="H34" s="30"/>
      <c r="I34" s="30"/>
      <c r="J34" s="30"/>
      <c r="K34" s="28"/>
      <c r="L34" s="28">
        <f t="shared" si="0"/>
        <v>1538.2729081230325</v>
      </c>
      <c r="M34" s="28">
        <f t="shared" si="1"/>
        <v>0</v>
      </c>
      <c r="N34" s="28">
        <f t="shared" si="2"/>
        <v>0</v>
      </c>
      <c r="O34" s="42">
        <f t="shared" si="3"/>
        <v>3828.8339563020781</v>
      </c>
      <c r="P34" s="28"/>
      <c r="Q34" s="28"/>
      <c r="R34" s="28"/>
      <c r="S34" s="28"/>
      <c r="T34" s="8">
        <f t="shared" si="4"/>
        <v>503794</v>
      </c>
      <c r="U34" s="43">
        <f t="shared" si="5"/>
        <v>5367.1068644251109</v>
      </c>
      <c r="V34" s="13">
        <f>D34/$T$34*100</f>
        <v>28.661119425797054</v>
      </c>
      <c r="W34" s="4">
        <f>E34/$T$34*100</f>
        <v>0</v>
      </c>
      <c r="X34" s="4">
        <f>F34/$T$34*100</f>
        <v>0</v>
      </c>
      <c r="Y34" s="48">
        <f>G34/$T$34*100</f>
        <v>71.338880574202946</v>
      </c>
      <c r="AC34" s="14"/>
    </row>
    <row r="35" spans="1:29" ht="16" thickBot="1" x14ac:dyDescent="0.25">
      <c r="A35" s="1" t="s">
        <v>98</v>
      </c>
      <c r="B35" s="8" t="s">
        <v>32</v>
      </c>
      <c r="C35" s="13">
        <v>124.3878226689603</v>
      </c>
      <c r="D35" s="29">
        <v>139565</v>
      </c>
      <c r="E35" s="30"/>
      <c r="F35" s="30"/>
      <c r="G35" s="30">
        <v>274936</v>
      </c>
      <c r="H35" s="30"/>
      <c r="I35" s="30"/>
      <c r="J35" s="30"/>
      <c r="K35" s="28"/>
      <c r="L35" s="28">
        <f t="shared" si="0"/>
        <v>1122.0149770724061</v>
      </c>
      <c r="M35" s="28">
        <f t="shared" si="1"/>
        <v>0</v>
      </c>
      <c r="N35" s="28">
        <f t="shared" si="2"/>
        <v>0</v>
      </c>
      <c r="O35" s="42">
        <f t="shared" si="3"/>
        <v>2210.3128272588328</v>
      </c>
      <c r="P35" s="28"/>
      <c r="Q35" s="28"/>
      <c r="R35" s="28"/>
      <c r="S35" s="28"/>
      <c r="T35" s="8">
        <f t="shared" si="4"/>
        <v>414501</v>
      </c>
      <c r="U35" s="43">
        <f t="shared" si="5"/>
        <v>3332.3278043312389</v>
      </c>
      <c r="V35" s="13">
        <f>D35/$T$35*100</f>
        <v>33.670606343531141</v>
      </c>
      <c r="W35" s="4">
        <f>E35/$T$35*100</f>
        <v>0</v>
      </c>
      <c r="X35" s="4">
        <f>F35/$T$35*100</f>
        <v>0</v>
      </c>
      <c r="Y35" s="48">
        <f>G35/$T$35*100</f>
        <v>66.329393656468866</v>
      </c>
      <c r="AC35" s="14"/>
    </row>
    <row r="36" spans="1:29" s="95" customFormat="1" x14ac:dyDescent="0.2">
      <c r="A36" s="109" t="s">
        <v>100</v>
      </c>
      <c r="B36" s="88" t="s">
        <v>33</v>
      </c>
      <c r="C36" s="89">
        <v>116.31998434140461</v>
      </c>
      <c r="D36" s="90">
        <v>175978</v>
      </c>
      <c r="E36" s="91"/>
      <c r="F36" s="91"/>
      <c r="G36" s="91">
        <v>428646</v>
      </c>
      <c r="H36" s="91"/>
      <c r="I36" s="91"/>
      <c r="J36" s="91"/>
      <c r="K36" s="92"/>
      <c r="L36" s="92">
        <f t="shared" si="0"/>
        <v>1512.878470508527</v>
      </c>
      <c r="M36" s="92">
        <f t="shared" si="1"/>
        <v>0</v>
      </c>
      <c r="N36" s="92">
        <f t="shared" si="2"/>
        <v>0</v>
      </c>
      <c r="O36" s="93">
        <f t="shared" si="3"/>
        <v>3685.0589554921526</v>
      </c>
      <c r="P36" s="92"/>
      <c r="Q36" s="92"/>
      <c r="R36" s="92"/>
      <c r="S36" s="92"/>
      <c r="T36" s="88">
        <f t="shared" si="4"/>
        <v>604624</v>
      </c>
      <c r="U36" s="94">
        <f t="shared" si="5"/>
        <v>5197.9374260006798</v>
      </c>
      <c r="V36" s="89">
        <f>D36/$T$36*100</f>
        <v>29.105361348540583</v>
      </c>
      <c r="W36" s="95">
        <f>E36/$T$36*100</f>
        <v>0</v>
      </c>
      <c r="X36" s="95">
        <f>F36/$T$36*100</f>
        <v>0</v>
      </c>
      <c r="Y36" s="96">
        <f>G36/$T$36*100</f>
        <v>70.894638651459417</v>
      </c>
      <c r="AC36" s="97"/>
    </row>
    <row r="37" spans="1:29" x14ac:dyDescent="0.2">
      <c r="A37" s="110" t="s">
        <v>102</v>
      </c>
      <c r="B37" s="8" t="s">
        <v>34</v>
      </c>
      <c r="C37" s="13">
        <v>75.56969360035805</v>
      </c>
      <c r="D37" s="29">
        <v>200299</v>
      </c>
      <c r="E37" s="30"/>
      <c r="F37" s="30"/>
      <c r="G37" s="30">
        <v>411601</v>
      </c>
      <c r="H37" s="30"/>
      <c r="I37" s="30"/>
      <c r="J37" s="30"/>
      <c r="K37" s="28"/>
      <c r="L37" s="28">
        <f t="shared" si="0"/>
        <v>2650.5202079984479</v>
      </c>
      <c r="M37" s="28">
        <f t="shared" si="1"/>
        <v>0</v>
      </c>
      <c r="N37" s="28">
        <f t="shared" si="2"/>
        <v>0</v>
      </c>
      <c r="O37" s="42">
        <f t="shared" si="3"/>
        <v>5446.6411121991077</v>
      </c>
      <c r="P37" s="28"/>
      <c r="Q37" s="28"/>
      <c r="R37" s="28"/>
      <c r="S37" s="28"/>
      <c r="T37" s="8">
        <f t="shared" si="4"/>
        <v>611900</v>
      </c>
      <c r="U37" s="43">
        <f t="shared" si="5"/>
        <v>8097.1613201975561</v>
      </c>
      <c r="V37" s="13">
        <f>D37/$T$37*100</f>
        <v>32.733943454812881</v>
      </c>
      <c r="W37" s="4">
        <f>E37/$T$37*100</f>
        <v>0</v>
      </c>
      <c r="X37" s="4">
        <f>F37/$T$37*100</f>
        <v>0</v>
      </c>
      <c r="Y37" s="48">
        <f>G37/$T$37*100</f>
        <v>67.266056545187126</v>
      </c>
      <c r="AC37" s="14"/>
    </row>
    <row r="38" spans="1:29" s="106" customFormat="1" ht="16" thickBot="1" x14ac:dyDescent="0.25">
      <c r="A38" s="111" t="s">
        <v>104</v>
      </c>
      <c r="B38" s="99" t="s">
        <v>35</v>
      </c>
      <c r="C38" s="100">
        <v>99.747880680763927</v>
      </c>
      <c r="D38" s="101">
        <v>122398</v>
      </c>
      <c r="E38" s="102"/>
      <c r="F38" s="102"/>
      <c r="G38" s="102">
        <v>400679</v>
      </c>
      <c r="H38" s="102"/>
      <c r="I38" s="102"/>
      <c r="J38" s="102"/>
      <c r="K38" s="103"/>
      <c r="L38" s="103">
        <f t="shared" si="0"/>
        <v>1227.0736898333328</v>
      </c>
      <c r="M38" s="103">
        <f t="shared" si="1"/>
        <v>0</v>
      </c>
      <c r="N38" s="103">
        <f t="shared" si="2"/>
        <v>0</v>
      </c>
      <c r="O38" s="104">
        <f t="shared" si="3"/>
        <v>4016.9174248658469</v>
      </c>
      <c r="P38" s="103"/>
      <c r="Q38" s="103"/>
      <c r="R38" s="103"/>
      <c r="S38" s="103"/>
      <c r="T38" s="99">
        <f t="shared" si="4"/>
        <v>523077</v>
      </c>
      <c r="U38" s="105">
        <f t="shared" si="5"/>
        <v>5243.9911146991799</v>
      </c>
      <c r="V38" s="100">
        <f>D38/$T$38*100</f>
        <v>23.399614205939088</v>
      </c>
      <c r="W38" s="106">
        <f>E38/$T$38*100</f>
        <v>0</v>
      </c>
      <c r="X38" s="106">
        <f>F38/$T$38*100</f>
        <v>0</v>
      </c>
      <c r="Y38" s="107">
        <f>G38/$T$38*100</f>
        <v>76.600385794060912</v>
      </c>
      <c r="AC38" s="108"/>
    </row>
  </sheetData>
  <mergeCells count="7">
    <mergeCell ref="V1:AC1"/>
    <mergeCell ref="U1:U2"/>
    <mergeCell ref="A1:B2"/>
    <mergeCell ref="C1:C2"/>
    <mergeCell ref="D1:K1"/>
    <mergeCell ref="L1:S1"/>
    <mergeCell ref="T1:T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8"/>
  <sheetViews>
    <sheetView showGridLines="0" workbookViewId="0">
      <pane xSplit="2" topLeftCell="C1" activePane="topRight" state="frozen"/>
      <selection pane="topRight" activeCell="U30" sqref="U30:U35"/>
    </sheetView>
  </sheetViews>
  <sheetFormatPr baseColWidth="10" defaultColWidth="8.6640625" defaultRowHeight="15" x14ac:dyDescent="0.2"/>
  <cols>
    <col min="1" max="1" width="21.33203125" style="50" bestFit="1" customWidth="1"/>
    <col min="2" max="2" width="9.6640625" style="4" bestFit="1" customWidth="1"/>
    <col min="3" max="3" width="6.83203125" style="4" bestFit="1" customWidth="1"/>
    <col min="4" max="7" width="8.33203125" style="4" bestFit="1" customWidth="1"/>
    <col min="8" max="11" width="4.5" style="4" bestFit="1" customWidth="1"/>
    <col min="12" max="15" width="8.33203125" style="4" bestFit="1" customWidth="1"/>
    <col min="16" max="19" width="4.5" style="4" bestFit="1" customWidth="1"/>
    <col min="20" max="20" width="14.1640625" style="4" bestFit="1" customWidth="1"/>
    <col min="21" max="21" width="21.6640625" style="4" bestFit="1" customWidth="1"/>
    <col min="22" max="22" width="5.33203125" style="4" bestFit="1" customWidth="1"/>
    <col min="23" max="24" width="4.5" style="4" bestFit="1" customWidth="1"/>
    <col min="25" max="25" width="5.33203125" style="4" bestFit="1" customWidth="1"/>
    <col min="26" max="29" width="4.5" style="4" bestFit="1" customWidth="1"/>
    <col min="30" max="16384" width="8.6640625" style="4"/>
  </cols>
  <sheetData>
    <row r="1" spans="1:29" x14ac:dyDescent="0.2">
      <c r="A1" s="121" t="s">
        <v>53</v>
      </c>
      <c r="B1" s="122"/>
      <c r="C1" s="125" t="s">
        <v>48</v>
      </c>
      <c r="D1" s="127" t="s">
        <v>46</v>
      </c>
      <c r="E1" s="127"/>
      <c r="F1" s="127"/>
      <c r="G1" s="127"/>
      <c r="H1" s="127"/>
      <c r="I1" s="127"/>
      <c r="J1" s="127"/>
      <c r="K1" s="127"/>
      <c r="L1" s="128" t="s">
        <v>49</v>
      </c>
      <c r="M1" s="129"/>
      <c r="N1" s="129"/>
      <c r="O1" s="129"/>
      <c r="P1" s="129"/>
      <c r="Q1" s="129"/>
      <c r="R1" s="129"/>
      <c r="S1" s="130"/>
      <c r="T1" s="119" t="s">
        <v>45</v>
      </c>
      <c r="U1" s="119" t="s">
        <v>141</v>
      </c>
      <c r="V1" s="117" t="s">
        <v>47</v>
      </c>
      <c r="W1" s="117"/>
      <c r="X1" s="117"/>
      <c r="Y1" s="117"/>
      <c r="Z1" s="117"/>
      <c r="AA1" s="117"/>
      <c r="AB1" s="117"/>
      <c r="AC1" s="118"/>
    </row>
    <row r="2" spans="1:29" x14ac:dyDescent="0.2">
      <c r="A2" s="123"/>
      <c r="B2" s="124"/>
      <c r="C2" s="126"/>
      <c r="D2" s="5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7" t="s">
        <v>43</v>
      </c>
      <c r="L2" s="5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7" t="s">
        <v>43</v>
      </c>
      <c r="T2" s="120"/>
      <c r="U2" s="120"/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  <c r="AB2" s="6" t="s">
        <v>42</v>
      </c>
      <c r="AC2" s="7" t="s">
        <v>43</v>
      </c>
    </row>
    <row r="3" spans="1:29" x14ac:dyDescent="0.2">
      <c r="A3" s="1" t="s">
        <v>106</v>
      </c>
      <c r="B3" s="8" t="s">
        <v>0</v>
      </c>
      <c r="C3" s="13">
        <v>151.61856590318203</v>
      </c>
      <c r="D3" s="25">
        <v>4883000</v>
      </c>
      <c r="E3" s="26">
        <v>112085</v>
      </c>
      <c r="F3" s="26"/>
      <c r="G3" s="26"/>
      <c r="H3" s="26"/>
      <c r="I3" s="26"/>
      <c r="J3" s="26"/>
      <c r="K3" s="27"/>
      <c r="L3" s="28">
        <f t="shared" ref="L3:L38" si="0">D3/$C3</f>
        <v>32205.818402992296</v>
      </c>
      <c r="M3" s="28">
        <f t="shared" ref="M3:M38" si="1">E3/$C3</f>
        <v>739.25643164026042</v>
      </c>
      <c r="N3" s="28">
        <f t="shared" ref="N3:N38" si="2">F3/$C3</f>
        <v>0</v>
      </c>
      <c r="O3" s="42">
        <f t="shared" ref="O3:O38" si="3">G3/$C3</f>
        <v>0</v>
      </c>
      <c r="P3" s="28"/>
      <c r="Q3" s="28"/>
      <c r="R3" s="28"/>
      <c r="S3" s="28"/>
      <c r="T3" s="8">
        <f>SUM(D3:K3)</f>
        <v>4995085</v>
      </c>
      <c r="U3" s="43">
        <f>SUM(L3:S3)</f>
        <v>32945.074834632556</v>
      </c>
      <c r="V3" s="10">
        <f>D3/$T$3*100</f>
        <v>97.756094240638546</v>
      </c>
      <c r="W3" s="11">
        <f>E3/$T$3*100</f>
        <v>2.2439057593614522</v>
      </c>
      <c r="X3" s="11">
        <f>F3/$T$3*100</f>
        <v>0</v>
      </c>
      <c r="Y3" s="47">
        <f>G3/$T$3*100</f>
        <v>0</v>
      </c>
      <c r="Z3" s="11"/>
      <c r="AA3" s="11"/>
      <c r="AB3" s="11"/>
      <c r="AC3" s="12"/>
    </row>
    <row r="4" spans="1:29" x14ac:dyDescent="0.2">
      <c r="A4" s="1" t="s">
        <v>108</v>
      </c>
      <c r="B4" s="8" t="s">
        <v>1</v>
      </c>
      <c r="C4" s="13">
        <v>144.60827361219867</v>
      </c>
      <c r="D4" s="29">
        <v>10895444</v>
      </c>
      <c r="E4" s="30">
        <v>289155</v>
      </c>
      <c r="F4" s="30"/>
      <c r="G4" s="30"/>
      <c r="H4" s="30"/>
      <c r="I4" s="30"/>
      <c r="J4" s="30"/>
      <c r="K4" s="28"/>
      <c r="L4" s="28">
        <f t="shared" si="0"/>
        <v>75344.54099921498</v>
      </c>
      <c r="M4" s="28">
        <f t="shared" si="1"/>
        <v>1999.5743865626775</v>
      </c>
      <c r="N4" s="28">
        <f t="shared" si="2"/>
        <v>0</v>
      </c>
      <c r="O4" s="42">
        <f t="shared" si="3"/>
        <v>0</v>
      </c>
      <c r="P4" s="28"/>
      <c r="Q4" s="28"/>
      <c r="R4" s="28"/>
      <c r="S4" s="28"/>
      <c r="T4" s="8">
        <f t="shared" ref="T4:T38" si="4">SUM(D4:K4)</f>
        <v>11184599</v>
      </c>
      <c r="U4" s="43">
        <f t="shared" ref="U4:U38" si="5">SUM(L4:S4)</f>
        <v>77344.115385777652</v>
      </c>
      <c r="V4" s="13">
        <f>D4/$T$4*100</f>
        <v>97.41470391562541</v>
      </c>
      <c r="W4" s="4">
        <f>E4/$T$4*100</f>
        <v>2.585296084374594</v>
      </c>
      <c r="X4" s="4">
        <f>F4/$T$4*100</f>
        <v>0</v>
      </c>
      <c r="Y4" s="48">
        <f>G4/$T$4*100</f>
        <v>0</v>
      </c>
      <c r="AC4" s="14"/>
    </row>
    <row r="5" spans="1:29" ht="17" thickBot="1" x14ac:dyDescent="0.25">
      <c r="A5" s="52" t="s">
        <v>110</v>
      </c>
      <c r="B5" s="8" t="s">
        <v>2</v>
      </c>
      <c r="C5" s="13">
        <v>126.18510720293932</v>
      </c>
      <c r="D5" s="29">
        <v>15274000</v>
      </c>
      <c r="E5" s="30">
        <v>344748</v>
      </c>
      <c r="F5" s="30"/>
      <c r="G5" s="30"/>
      <c r="H5" s="30"/>
      <c r="I5" s="30"/>
      <c r="J5" s="30"/>
      <c r="K5" s="28"/>
      <c r="L5" s="28">
        <f t="shared" si="0"/>
        <v>121044.39532182932</v>
      </c>
      <c r="M5" s="28">
        <f t="shared" si="1"/>
        <v>2732.0815240546035</v>
      </c>
      <c r="N5" s="28">
        <f t="shared" si="2"/>
        <v>0</v>
      </c>
      <c r="O5" s="42">
        <f t="shared" si="3"/>
        <v>0</v>
      </c>
      <c r="P5" s="28"/>
      <c r="Q5" s="28"/>
      <c r="R5" s="28"/>
      <c r="S5" s="28"/>
      <c r="T5" s="8">
        <f t="shared" si="4"/>
        <v>15618748</v>
      </c>
      <c r="U5" s="43">
        <f t="shared" si="5"/>
        <v>123776.47684588392</v>
      </c>
      <c r="V5" s="13">
        <f>D5/$T$5*100</f>
        <v>97.792729609313113</v>
      </c>
      <c r="W5" s="4">
        <f>E5/$T$5*100</f>
        <v>2.2072703906868845</v>
      </c>
      <c r="X5" s="4">
        <f>F5/$T$5*100</f>
        <v>0</v>
      </c>
      <c r="Y5" s="48">
        <f>G5/$T$5*100</f>
        <v>0</v>
      </c>
      <c r="AC5" s="14"/>
    </row>
    <row r="6" spans="1:29" s="95" customFormat="1" ht="16" x14ac:dyDescent="0.2">
      <c r="A6" s="52" t="s">
        <v>112</v>
      </c>
      <c r="B6" s="88" t="s">
        <v>3</v>
      </c>
      <c r="C6" s="89">
        <v>139.22341121667353</v>
      </c>
      <c r="D6" s="90">
        <v>4218940</v>
      </c>
      <c r="E6" s="91">
        <v>169095</v>
      </c>
      <c r="F6" s="91">
        <v>12109</v>
      </c>
      <c r="G6" s="91">
        <v>2404346</v>
      </c>
      <c r="H6" s="91"/>
      <c r="I6" s="91"/>
      <c r="J6" s="91"/>
      <c r="K6" s="92"/>
      <c r="L6" s="92">
        <f t="shared" si="0"/>
        <v>30303.380466910552</v>
      </c>
      <c r="M6" s="92">
        <f t="shared" si="1"/>
        <v>1214.5586616667315</v>
      </c>
      <c r="N6" s="92">
        <f t="shared" si="2"/>
        <v>86.975314669992912</v>
      </c>
      <c r="O6" s="93">
        <f t="shared" si="3"/>
        <v>17269.69608766527</v>
      </c>
      <c r="P6" s="92"/>
      <c r="Q6" s="92"/>
      <c r="R6" s="92"/>
      <c r="S6" s="92"/>
      <c r="T6" s="88">
        <f t="shared" si="4"/>
        <v>6804490</v>
      </c>
      <c r="U6" s="94">
        <f t="shared" si="5"/>
        <v>48874.610530912541</v>
      </c>
      <c r="V6" s="89">
        <f>D6/$T$6*100</f>
        <v>62.002295543089936</v>
      </c>
      <c r="W6" s="95">
        <f>E6/$T$6*100</f>
        <v>2.4850503123672754</v>
      </c>
      <c r="X6" s="95">
        <f>F6/$T$6*100</f>
        <v>0.17795602609453465</v>
      </c>
      <c r="Y6" s="96">
        <f>G6/$T$6*100</f>
        <v>35.334698118448259</v>
      </c>
      <c r="AC6" s="97"/>
    </row>
    <row r="7" spans="1:29" ht="16" x14ac:dyDescent="0.2">
      <c r="A7" s="52" t="s">
        <v>114</v>
      </c>
      <c r="B7" s="8" t="s">
        <v>4</v>
      </c>
      <c r="C7" s="13">
        <v>151.90975415986941</v>
      </c>
      <c r="D7" s="29">
        <v>4750819</v>
      </c>
      <c r="E7" s="30">
        <v>125754</v>
      </c>
      <c r="F7" s="30">
        <v>69385</v>
      </c>
      <c r="G7" s="30">
        <v>5860477</v>
      </c>
      <c r="H7" s="30"/>
      <c r="I7" s="30"/>
      <c r="J7" s="30"/>
      <c r="K7" s="28"/>
      <c r="L7" s="28">
        <f t="shared" si="0"/>
        <v>31273.956213504574</v>
      </c>
      <c r="M7" s="28">
        <f t="shared" si="1"/>
        <v>827.82044310108506</v>
      </c>
      <c r="N7" s="28">
        <f t="shared" si="2"/>
        <v>456.75144682927612</v>
      </c>
      <c r="O7" s="42">
        <f t="shared" si="3"/>
        <v>38578.674769182035</v>
      </c>
      <c r="P7" s="28"/>
      <c r="Q7" s="28"/>
      <c r="R7" s="28"/>
      <c r="S7" s="28"/>
      <c r="T7" s="8">
        <f t="shared" si="4"/>
        <v>10806435</v>
      </c>
      <c r="U7" s="43">
        <f t="shared" si="5"/>
        <v>71137.202872616966</v>
      </c>
      <c r="V7" s="13">
        <f>D7/$T$7*100</f>
        <v>43.962870271278177</v>
      </c>
      <c r="W7" s="4">
        <f>E7/$T$7*100</f>
        <v>1.1636955203080386</v>
      </c>
      <c r="X7" s="4">
        <f>F7/$T$7*100</f>
        <v>0.64207113631831403</v>
      </c>
      <c r="Y7" s="48">
        <f>G7/$T$7*100</f>
        <v>54.231363072095476</v>
      </c>
      <c r="AC7" s="14"/>
    </row>
    <row r="8" spans="1:29" s="106" customFormat="1" ht="17" thickBot="1" x14ac:dyDescent="0.25">
      <c r="A8" s="52" t="s">
        <v>116</v>
      </c>
      <c r="B8" s="99" t="s">
        <v>5</v>
      </c>
      <c r="C8" s="100">
        <v>108.99908875208385</v>
      </c>
      <c r="D8" s="101">
        <v>4013724</v>
      </c>
      <c r="E8" s="102">
        <v>182875</v>
      </c>
      <c r="F8" s="102">
        <v>52260</v>
      </c>
      <c r="G8" s="102">
        <v>5776619</v>
      </c>
      <c r="H8" s="102"/>
      <c r="I8" s="102"/>
      <c r="J8" s="102"/>
      <c r="K8" s="103"/>
      <c r="L8" s="103">
        <f t="shared" si="0"/>
        <v>36823.463810134519</v>
      </c>
      <c r="M8" s="103">
        <f t="shared" si="1"/>
        <v>1677.7663198262635</v>
      </c>
      <c r="N8" s="103">
        <f t="shared" si="2"/>
        <v>479.45354955089834</v>
      </c>
      <c r="O8" s="104">
        <f t="shared" si="3"/>
        <v>52996.947645487198</v>
      </c>
      <c r="P8" s="103"/>
      <c r="Q8" s="103"/>
      <c r="R8" s="103"/>
      <c r="S8" s="103"/>
      <c r="T8" s="99">
        <f t="shared" si="4"/>
        <v>10025478</v>
      </c>
      <c r="U8" s="105">
        <f t="shared" si="5"/>
        <v>91977.631324998874</v>
      </c>
      <c r="V8" s="100">
        <f>D8/$T$8*100</f>
        <v>40.035238220062922</v>
      </c>
      <c r="W8" s="106">
        <f>E8/$T$8*100</f>
        <v>1.8241025515192393</v>
      </c>
      <c r="X8" s="106">
        <f>F8/$T$8*100</f>
        <v>0.52127190344440433</v>
      </c>
      <c r="Y8" s="107">
        <f>G8/$T$8*100</f>
        <v>57.619387324973438</v>
      </c>
      <c r="AC8" s="108"/>
    </row>
    <row r="9" spans="1:29" x14ac:dyDescent="0.2">
      <c r="A9" s="109" t="s">
        <v>118</v>
      </c>
      <c r="B9" s="8" t="s">
        <v>6</v>
      </c>
      <c r="C9" s="13">
        <v>156.73380954252787</v>
      </c>
      <c r="D9" s="29">
        <v>3193298</v>
      </c>
      <c r="E9" s="30">
        <v>74073</v>
      </c>
      <c r="F9" s="30">
        <v>47085</v>
      </c>
      <c r="G9" s="30">
        <v>4455809</v>
      </c>
      <c r="H9" s="30"/>
      <c r="I9" s="30"/>
      <c r="J9" s="30"/>
      <c r="K9" s="28"/>
      <c r="L9" s="28">
        <f t="shared" si="0"/>
        <v>20374.021465569855</v>
      </c>
      <c r="M9" s="28">
        <f t="shared" si="1"/>
        <v>472.60383842007724</v>
      </c>
      <c r="N9" s="28">
        <f t="shared" si="2"/>
        <v>300.41380438228958</v>
      </c>
      <c r="O9" s="42">
        <f t="shared" si="3"/>
        <v>28429.150117677505</v>
      </c>
      <c r="P9" s="28"/>
      <c r="Q9" s="28"/>
      <c r="R9" s="28"/>
      <c r="S9" s="28"/>
      <c r="T9" s="8">
        <f t="shared" si="4"/>
        <v>7770265</v>
      </c>
      <c r="U9" s="43">
        <f t="shared" si="5"/>
        <v>49576.189226049726</v>
      </c>
      <c r="V9" s="13">
        <f>D9/$T$9*100</f>
        <v>41.096384743634864</v>
      </c>
      <c r="W9" s="4">
        <f>E9/$T$9*100</f>
        <v>0.95328795092574059</v>
      </c>
      <c r="X9" s="4">
        <f>F9/$T$9*100</f>
        <v>0.60596388926246403</v>
      </c>
      <c r="Y9" s="48">
        <f>G9/$T$9*100</f>
        <v>57.344363416176925</v>
      </c>
      <c r="AC9" s="14"/>
    </row>
    <row r="10" spans="1:29" x14ac:dyDescent="0.2">
      <c r="A10" s="110" t="s">
        <v>120</v>
      </c>
      <c r="B10" s="8" t="s">
        <v>7</v>
      </c>
      <c r="C10" s="13">
        <v>145.0979296286427</v>
      </c>
      <c r="D10" s="29">
        <v>4521935</v>
      </c>
      <c r="E10" s="30">
        <v>161705</v>
      </c>
      <c r="F10" s="30">
        <v>100182</v>
      </c>
      <c r="G10" s="30">
        <v>8299290</v>
      </c>
      <c r="H10" s="30"/>
      <c r="I10" s="30"/>
      <c r="J10" s="30"/>
      <c r="K10" s="28"/>
      <c r="L10" s="28">
        <f t="shared" si="0"/>
        <v>31164.710699685671</v>
      </c>
      <c r="M10" s="28">
        <f t="shared" si="1"/>
        <v>1114.454220083365</v>
      </c>
      <c r="N10" s="28">
        <f t="shared" si="2"/>
        <v>690.44403497969563</v>
      </c>
      <c r="O10" s="42">
        <f t="shared" si="3"/>
        <v>57197.852658827316</v>
      </c>
      <c r="P10" s="28"/>
      <c r="Q10" s="28"/>
      <c r="R10" s="28"/>
      <c r="S10" s="28"/>
      <c r="T10" s="8">
        <f t="shared" si="4"/>
        <v>13083112</v>
      </c>
      <c r="U10" s="43">
        <f t="shared" si="5"/>
        <v>90167.461613576044</v>
      </c>
      <c r="V10" s="13">
        <f>D10/$T$10*100</f>
        <v>34.563145221106417</v>
      </c>
      <c r="W10" s="4">
        <f>E10/$T$10*100</f>
        <v>1.2359826928027522</v>
      </c>
      <c r="X10" s="4">
        <f>F10/$T$10*100</f>
        <v>0.76573524708800178</v>
      </c>
      <c r="Y10" s="48">
        <f>G10/$T$10*100</f>
        <v>63.435136839002823</v>
      </c>
      <c r="AC10" s="14"/>
    </row>
    <row r="11" spans="1:29" ht="17" thickBot="1" x14ac:dyDescent="0.25">
      <c r="A11" s="98" t="s">
        <v>122</v>
      </c>
      <c r="B11" s="8" t="s">
        <v>8</v>
      </c>
      <c r="C11" s="13">
        <v>127.74830304604941</v>
      </c>
      <c r="D11" s="29">
        <v>5425432</v>
      </c>
      <c r="E11" s="30"/>
      <c r="F11" s="30">
        <v>127666</v>
      </c>
      <c r="G11" s="30">
        <v>9885633</v>
      </c>
      <c r="H11" s="30"/>
      <c r="I11" s="30"/>
      <c r="J11" s="30"/>
      <c r="K11" s="28"/>
      <c r="L11" s="28">
        <f t="shared" si="0"/>
        <v>42469.699171223394</v>
      </c>
      <c r="M11" s="28">
        <f t="shared" si="1"/>
        <v>0</v>
      </c>
      <c r="N11" s="28">
        <f t="shared" si="2"/>
        <v>999.35574059234477</v>
      </c>
      <c r="O11" s="42">
        <f t="shared" si="3"/>
        <v>77383.673710613031</v>
      </c>
      <c r="P11" s="28"/>
      <c r="Q11" s="28"/>
      <c r="R11" s="28"/>
      <c r="S11" s="28"/>
      <c r="T11" s="8">
        <f t="shared" si="4"/>
        <v>15438731</v>
      </c>
      <c r="U11" s="43">
        <f t="shared" si="5"/>
        <v>120852.72862242877</v>
      </c>
      <c r="V11" s="13">
        <f>D11/$T$11*100</f>
        <v>35.141696555241495</v>
      </c>
      <c r="W11" s="4">
        <f>E11/$T$11*100</f>
        <v>0</v>
      </c>
      <c r="X11" s="4">
        <f>F11/$T$11*100</f>
        <v>0.8269202954569258</v>
      </c>
      <c r="Y11" s="48">
        <f>G11/$T$11*100</f>
        <v>64.031383149301575</v>
      </c>
      <c r="AC11" s="14"/>
    </row>
    <row r="12" spans="1:29" x14ac:dyDescent="0.2">
      <c r="A12" s="1" t="s">
        <v>124</v>
      </c>
      <c r="B12" s="8" t="s">
        <v>9</v>
      </c>
      <c r="C12" s="13">
        <v>130.41766483297067</v>
      </c>
      <c r="D12" s="29">
        <v>5838115</v>
      </c>
      <c r="E12" s="30">
        <v>121816</v>
      </c>
      <c r="F12" s="30"/>
      <c r="G12" s="30"/>
      <c r="H12" s="30"/>
      <c r="I12" s="30"/>
      <c r="J12" s="30"/>
      <c r="K12" s="28"/>
      <c r="L12" s="28">
        <f t="shared" si="0"/>
        <v>44764.75642680021</v>
      </c>
      <c r="M12" s="28">
        <f t="shared" si="1"/>
        <v>934.04524729079412</v>
      </c>
      <c r="N12" s="28">
        <f t="shared" si="2"/>
        <v>0</v>
      </c>
      <c r="O12" s="42">
        <f t="shared" si="3"/>
        <v>0</v>
      </c>
      <c r="P12" s="28"/>
      <c r="Q12" s="28"/>
      <c r="R12" s="28"/>
      <c r="S12" s="28"/>
      <c r="T12" s="8">
        <f t="shared" si="4"/>
        <v>5959931</v>
      </c>
      <c r="U12" s="43">
        <f t="shared" si="5"/>
        <v>45698.801674091002</v>
      </c>
      <c r="V12" s="13">
        <f>D12/$T$12*100</f>
        <v>97.956083719761182</v>
      </c>
      <c r="W12" s="4">
        <f>E12/$T$12*100</f>
        <v>2.0439162802388151</v>
      </c>
      <c r="X12" s="4">
        <f>F12/$T$12*100</f>
        <v>0</v>
      </c>
      <c r="Y12" s="48">
        <f>G12/$T$12*100</f>
        <v>0</v>
      </c>
      <c r="AC12" s="14"/>
    </row>
    <row r="13" spans="1:29" x14ac:dyDescent="0.2">
      <c r="A13" s="1" t="s">
        <v>126</v>
      </c>
      <c r="B13" s="8" t="s">
        <v>10</v>
      </c>
      <c r="C13" s="13">
        <v>125.39322005484902</v>
      </c>
      <c r="D13" s="29">
        <v>9343747</v>
      </c>
      <c r="E13" s="30">
        <v>222453</v>
      </c>
      <c r="F13" s="30"/>
      <c r="G13" s="30">
        <v>11443</v>
      </c>
      <c r="H13" s="30"/>
      <c r="I13" s="30"/>
      <c r="J13" s="30"/>
      <c r="K13" s="28"/>
      <c r="L13" s="28">
        <f t="shared" si="0"/>
        <v>74515.567874506247</v>
      </c>
      <c r="M13" s="28">
        <f t="shared" si="1"/>
        <v>1774.0432848179148</v>
      </c>
      <c r="N13" s="28">
        <f t="shared" si="2"/>
        <v>0</v>
      </c>
      <c r="O13" s="42">
        <f t="shared" si="3"/>
        <v>91.256927567492454</v>
      </c>
      <c r="P13" s="28"/>
      <c r="Q13" s="28"/>
      <c r="R13" s="28"/>
      <c r="S13" s="28"/>
      <c r="T13" s="8">
        <f t="shared" si="4"/>
        <v>9577643</v>
      </c>
      <c r="U13" s="43">
        <f t="shared" si="5"/>
        <v>76380.868086891656</v>
      </c>
      <c r="V13" s="13">
        <f>D13/$T$13*100</f>
        <v>97.557896029325804</v>
      </c>
      <c r="W13" s="4">
        <f>E13/$T$13*100</f>
        <v>2.3226278114563259</v>
      </c>
      <c r="X13" s="4">
        <f>F13/$T$13*100</f>
        <v>0</v>
      </c>
      <c r="Y13" s="48">
        <f>G13/$T$13*100</f>
        <v>0.11947615921787855</v>
      </c>
      <c r="AC13" s="14"/>
    </row>
    <row r="14" spans="1:29" ht="16" thickBot="1" x14ac:dyDescent="0.25">
      <c r="A14" s="1" t="s">
        <v>128</v>
      </c>
      <c r="B14" s="8" t="s">
        <v>11</v>
      </c>
      <c r="C14" s="13">
        <v>122.16499836554055</v>
      </c>
      <c r="D14" s="29">
        <v>6570079</v>
      </c>
      <c r="E14" s="30">
        <v>193906</v>
      </c>
      <c r="F14" s="30"/>
      <c r="G14" s="30"/>
      <c r="H14" s="30"/>
      <c r="I14" s="30"/>
      <c r="J14" s="30"/>
      <c r="K14" s="28"/>
      <c r="L14" s="28">
        <f t="shared" si="0"/>
        <v>53780.371529503835</v>
      </c>
      <c r="M14" s="28">
        <f t="shared" si="1"/>
        <v>1587.2467776719232</v>
      </c>
      <c r="N14" s="28">
        <f t="shared" si="2"/>
        <v>0</v>
      </c>
      <c r="O14" s="42">
        <f t="shared" si="3"/>
        <v>0</v>
      </c>
      <c r="P14" s="28"/>
      <c r="Q14" s="28"/>
      <c r="R14" s="28"/>
      <c r="S14" s="28"/>
      <c r="T14" s="8">
        <f t="shared" si="4"/>
        <v>6763985</v>
      </c>
      <c r="U14" s="43">
        <f t="shared" si="5"/>
        <v>55367.618307175755</v>
      </c>
      <c r="V14" s="13">
        <f>D14/$T$14*100</f>
        <v>97.13325798327466</v>
      </c>
      <c r="W14" s="4">
        <f>E14/$T$14*100</f>
        <v>2.8667420167253472</v>
      </c>
      <c r="X14" s="4">
        <f>F14/$T$14*100</f>
        <v>0</v>
      </c>
      <c r="Y14" s="48">
        <f>G14/$T$14*100</f>
        <v>0</v>
      </c>
      <c r="AC14" s="14"/>
    </row>
    <row r="15" spans="1:29" x14ac:dyDescent="0.2">
      <c r="A15" s="1" t="s">
        <v>130</v>
      </c>
      <c r="B15" s="88" t="s">
        <v>12</v>
      </c>
      <c r="C15" s="89">
        <v>146.87068065753425</v>
      </c>
      <c r="D15" s="90">
        <v>2689144</v>
      </c>
      <c r="E15" s="91">
        <v>110357</v>
      </c>
      <c r="F15" s="91">
        <v>7124</v>
      </c>
      <c r="G15" s="91">
        <v>1335403</v>
      </c>
      <c r="H15" s="91"/>
      <c r="I15" s="91"/>
      <c r="J15" s="91"/>
      <c r="K15" s="92"/>
      <c r="L15" s="92">
        <f t="shared" si="0"/>
        <v>18309.603986042745</v>
      </c>
      <c r="M15" s="92">
        <f t="shared" si="1"/>
        <v>751.38890557282139</v>
      </c>
      <c r="N15" s="92">
        <f t="shared" si="2"/>
        <v>48.505256243833912</v>
      </c>
      <c r="O15" s="93">
        <f t="shared" si="3"/>
        <v>9092.3729230466779</v>
      </c>
      <c r="P15" s="92"/>
      <c r="Q15" s="92"/>
      <c r="R15" s="92"/>
      <c r="S15" s="92"/>
      <c r="T15" s="88">
        <f t="shared" si="4"/>
        <v>4142028</v>
      </c>
      <c r="U15" s="94">
        <f t="shared" si="5"/>
        <v>28201.871070906076</v>
      </c>
      <c r="V15" s="89">
        <f>D15/$T$15*100</f>
        <v>64.92336604194854</v>
      </c>
      <c r="W15" s="95">
        <f>E15/$T$15*100</f>
        <v>2.6643228872426743</v>
      </c>
      <c r="X15" s="95">
        <f>F15/$T$15*100</f>
        <v>0.17199304302143781</v>
      </c>
      <c r="Y15" s="112">
        <f>G15/$T$15*100</f>
        <v>32.24031802778736</v>
      </c>
      <c r="AC15" s="14"/>
    </row>
    <row r="16" spans="1:29" x14ac:dyDescent="0.2">
      <c r="A16" s="1" t="s">
        <v>132</v>
      </c>
      <c r="B16" s="8" t="s">
        <v>13</v>
      </c>
      <c r="C16" s="13">
        <v>130.89217923422584</v>
      </c>
      <c r="D16" s="29">
        <v>4618591</v>
      </c>
      <c r="E16" s="30">
        <v>141009</v>
      </c>
      <c r="F16" s="30">
        <v>16169</v>
      </c>
      <c r="G16" s="30">
        <v>2450287</v>
      </c>
      <c r="H16" s="30"/>
      <c r="I16" s="30"/>
      <c r="J16" s="30"/>
      <c r="K16" s="28"/>
      <c r="L16" s="28">
        <f t="shared" si="0"/>
        <v>35285.461874198256</v>
      </c>
      <c r="M16" s="28">
        <f t="shared" si="1"/>
        <v>1077.2912547179046</v>
      </c>
      <c r="N16" s="28">
        <f t="shared" si="2"/>
        <v>123.52915273162563</v>
      </c>
      <c r="O16" s="42">
        <f t="shared" si="3"/>
        <v>18719.888493989532</v>
      </c>
      <c r="P16" s="28"/>
      <c r="Q16" s="28"/>
      <c r="R16" s="28"/>
      <c r="S16" s="28"/>
      <c r="T16" s="8">
        <f t="shared" si="4"/>
        <v>7226056</v>
      </c>
      <c r="U16" s="43">
        <f t="shared" si="5"/>
        <v>55206.170775637322</v>
      </c>
      <c r="V16" s="13">
        <f>D16/$T$16*100</f>
        <v>63.915793068860808</v>
      </c>
      <c r="W16" s="4">
        <f>E16/$T$16*100</f>
        <v>1.9513964464155826</v>
      </c>
      <c r="X16" s="4">
        <f>F16/$T$16*100</f>
        <v>0.22375968301380447</v>
      </c>
      <c r="Y16" s="113">
        <f>G16/$T$16*100</f>
        <v>33.90905080170981</v>
      </c>
      <c r="AC16" s="14"/>
    </row>
    <row r="17" spans="1:29" ht="16" thickBot="1" x14ac:dyDescent="0.25">
      <c r="A17" s="1" t="s">
        <v>134</v>
      </c>
      <c r="B17" s="99" t="s">
        <v>14</v>
      </c>
      <c r="C17" s="100">
        <v>68.818694063301194</v>
      </c>
      <c r="D17" s="101">
        <v>4891287</v>
      </c>
      <c r="E17" s="102">
        <v>173798</v>
      </c>
      <c r="F17" s="102">
        <v>51467</v>
      </c>
      <c r="G17" s="102">
        <v>3433762</v>
      </c>
      <c r="H17" s="102"/>
      <c r="I17" s="102"/>
      <c r="J17" s="102"/>
      <c r="K17" s="103"/>
      <c r="L17" s="103">
        <f t="shared" si="0"/>
        <v>71074.975580049068</v>
      </c>
      <c r="M17" s="103">
        <f t="shared" si="1"/>
        <v>2525.4475163410707</v>
      </c>
      <c r="N17" s="103">
        <f t="shared" si="2"/>
        <v>747.86365391734023</v>
      </c>
      <c r="O17" s="104">
        <f t="shared" si="3"/>
        <v>49895.773913430239</v>
      </c>
      <c r="P17" s="103"/>
      <c r="Q17" s="103"/>
      <c r="R17" s="103"/>
      <c r="S17" s="103"/>
      <c r="T17" s="99">
        <f t="shared" si="4"/>
        <v>8550314</v>
      </c>
      <c r="U17" s="105">
        <f t="shared" si="5"/>
        <v>124244.06066373772</v>
      </c>
      <c r="V17" s="100">
        <f>D17/$T$17*100</f>
        <v>57.205934191422678</v>
      </c>
      <c r="W17" s="106">
        <f>E17/$T$17*100</f>
        <v>2.0326504968121637</v>
      </c>
      <c r="X17" s="106">
        <f>F17/$T$17*100</f>
        <v>0.60193111036623914</v>
      </c>
      <c r="Y17" s="114">
        <f>G17/$T$17*100</f>
        <v>40.159484201398918</v>
      </c>
      <c r="AC17" s="14"/>
    </row>
    <row r="18" spans="1:29" x14ac:dyDescent="0.2">
      <c r="A18" s="109" t="s">
        <v>136</v>
      </c>
      <c r="B18" s="8" t="s">
        <v>15</v>
      </c>
      <c r="C18" s="13">
        <v>130.65055284958299</v>
      </c>
      <c r="D18" s="29">
        <v>8561752</v>
      </c>
      <c r="E18" s="30">
        <v>194671</v>
      </c>
      <c r="F18" s="30">
        <v>43821</v>
      </c>
      <c r="G18" s="30">
        <v>3407457</v>
      </c>
      <c r="H18" s="30"/>
      <c r="I18" s="30"/>
      <c r="J18" s="30"/>
      <c r="K18" s="28"/>
      <c r="L18" s="28">
        <f t="shared" si="0"/>
        <v>65531.693615235454</v>
      </c>
      <c r="M18" s="28">
        <f t="shared" si="1"/>
        <v>1490.0128300576214</v>
      </c>
      <c r="N18" s="28">
        <f t="shared" si="2"/>
        <v>335.40615821542514</v>
      </c>
      <c r="O18" s="42">
        <f t="shared" si="3"/>
        <v>26080.6933126642</v>
      </c>
      <c r="P18" s="28"/>
      <c r="Q18" s="28"/>
      <c r="R18" s="28"/>
      <c r="S18" s="28"/>
      <c r="T18" s="8">
        <f t="shared" si="4"/>
        <v>12207701</v>
      </c>
      <c r="U18" s="43">
        <f t="shared" si="5"/>
        <v>93437.8059161727</v>
      </c>
      <c r="V18" s="13">
        <f>D18/$T$18*100</f>
        <v>70.134024416227106</v>
      </c>
      <c r="W18" s="4">
        <f>E18/$T$18*100</f>
        <v>1.5946573396579751</v>
      </c>
      <c r="X18" s="4">
        <f>F18/$T$18*100</f>
        <v>0.35896193722306929</v>
      </c>
      <c r="Y18" s="48">
        <f>G18/$T$18*100</f>
        <v>27.912356306891855</v>
      </c>
      <c r="AC18" s="14"/>
    </row>
    <row r="19" spans="1:29" x14ac:dyDescent="0.2">
      <c r="A19" s="110" t="s">
        <v>138</v>
      </c>
      <c r="B19" s="8" t="s">
        <v>16</v>
      </c>
      <c r="C19" s="13">
        <v>110.44600086309183</v>
      </c>
      <c r="D19" s="29">
        <v>3836873</v>
      </c>
      <c r="E19" s="30">
        <v>126923</v>
      </c>
      <c r="F19" s="30">
        <v>59138</v>
      </c>
      <c r="G19" s="30">
        <v>3497997</v>
      </c>
      <c r="H19" s="30"/>
      <c r="I19" s="30"/>
      <c r="J19" s="30"/>
      <c r="K19" s="28"/>
      <c r="L19" s="28">
        <f t="shared" si="0"/>
        <v>34739.809228187121</v>
      </c>
      <c r="M19" s="28">
        <f t="shared" si="1"/>
        <v>1149.1860185805456</v>
      </c>
      <c r="N19" s="28">
        <f t="shared" si="2"/>
        <v>535.44718267623921</v>
      </c>
      <c r="O19" s="42">
        <f t="shared" si="3"/>
        <v>31671.558704385279</v>
      </c>
      <c r="P19" s="28"/>
      <c r="Q19" s="28"/>
      <c r="R19" s="28"/>
      <c r="S19" s="28"/>
      <c r="T19" s="8">
        <f t="shared" si="4"/>
        <v>7520931</v>
      </c>
      <c r="U19" s="43">
        <f t="shared" si="5"/>
        <v>68096.001133829181</v>
      </c>
      <c r="V19" s="13">
        <f>D19/$T$19*100</f>
        <v>51.015931405300755</v>
      </c>
      <c r="W19" s="4">
        <f>E19/$T$19*100</f>
        <v>1.6875969211790403</v>
      </c>
      <c r="X19" s="4">
        <f>F19/$T$19*100</f>
        <v>0.7863122265049366</v>
      </c>
      <c r="Y19" s="48">
        <f>G19/$T$19*100</f>
        <v>46.510159447015269</v>
      </c>
      <c r="AC19" s="14"/>
    </row>
    <row r="20" spans="1:29" ht="16" thickBot="1" x14ac:dyDescent="0.25">
      <c r="A20" s="111" t="s">
        <v>140</v>
      </c>
      <c r="B20" s="8" t="s">
        <v>17</v>
      </c>
      <c r="C20" s="13">
        <v>117.52188726819432</v>
      </c>
      <c r="D20" s="29">
        <v>4984560</v>
      </c>
      <c r="E20" s="30">
        <v>175212</v>
      </c>
      <c r="F20" s="30">
        <v>63835</v>
      </c>
      <c r="G20" s="30">
        <v>4639494</v>
      </c>
      <c r="H20" s="30"/>
      <c r="I20" s="30"/>
      <c r="J20" s="30"/>
      <c r="K20" s="28"/>
      <c r="L20" s="28">
        <f t="shared" si="0"/>
        <v>42413.886603308507</v>
      </c>
      <c r="M20" s="28">
        <f t="shared" si="1"/>
        <v>1490.8882428015493</v>
      </c>
      <c r="N20" s="28">
        <f t="shared" si="2"/>
        <v>543.17541594888996</v>
      </c>
      <c r="O20" s="42">
        <f t="shared" si="3"/>
        <v>39477.701625164547</v>
      </c>
      <c r="P20" s="28"/>
      <c r="Q20" s="28"/>
      <c r="R20" s="28"/>
      <c r="S20" s="28"/>
      <c r="T20" s="8">
        <f t="shared" si="4"/>
        <v>9863101</v>
      </c>
      <c r="U20" s="43">
        <f t="shared" si="5"/>
        <v>83925.651887223503</v>
      </c>
      <c r="V20" s="13">
        <f>D20/$T$20*100</f>
        <v>50.537452673352931</v>
      </c>
      <c r="W20" s="4">
        <f>E20/$T$20*100</f>
        <v>1.7764392760451302</v>
      </c>
      <c r="X20" s="4">
        <f>F20/$T$20*100</f>
        <v>0.64721024351266399</v>
      </c>
      <c r="Y20" s="48">
        <f>G20/$T$20*100</f>
        <v>47.03889780708927</v>
      </c>
      <c r="AC20" s="14"/>
    </row>
    <row r="21" spans="1:29" x14ac:dyDescent="0.2">
      <c r="A21" s="51" t="s">
        <v>70</v>
      </c>
      <c r="B21" s="8" t="s">
        <v>18</v>
      </c>
      <c r="C21" s="13">
        <v>97.198118384657477</v>
      </c>
      <c r="D21" s="29">
        <v>6717218</v>
      </c>
      <c r="E21" s="30">
        <v>196815</v>
      </c>
      <c r="F21" s="30"/>
      <c r="G21" s="30"/>
      <c r="H21" s="30"/>
      <c r="I21" s="30"/>
      <c r="J21" s="30"/>
      <c r="K21" s="28"/>
      <c r="L21" s="28">
        <f t="shared" si="0"/>
        <v>69108.518885282232</v>
      </c>
      <c r="M21" s="28">
        <f t="shared" si="1"/>
        <v>2024.8848771034116</v>
      </c>
      <c r="N21" s="28">
        <f t="shared" si="2"/>
        <v>0</v>
      </c>
      <c r="O21" s="42">
        <f t="shared" si="3"/>
        <v>0</v>
      </c>
      <c r="P21" s="28"/>
      <c r="Q21" s="28"/>
      <c r="R21" s="28"/>
      <c r="S21" s="28"/>
      <c r="T21" s="8">
        <f t="shared" si="4"/>
        <v>6914033</v>
      </c>
      <c r="U21" s="43">
        <f t="shared" si="5"/>
        <v>71133.403762385642</v>
      </c>
      <c r="V21" s="13">
        <f>D21/$T$21*100</f>
        <v>97.153398023989752</v>
      </c>
      <c r="W21" s="4">
        <f>E21/$T$21*100</f>
        <v>2.846601976010239</v>
      </c>
      <c r="X21" s="4">
        <f>F21/$T$21*100</f>
        <v>0</v>
      </c>
      <c r="Y21" s="48">
        <f>G21/$T$21*100</f>
        <v>0</v>
      </c>
      <c r="AC21" s="14"/>
    </row>
    <row r="22" spans="1:29" x14ac:dyDescent="0.2">
      <c r="A22" s="1" t="s">
        <v>72</v>
      </c>
      <c r="B22" s="8" t="s">
        <v>19</v>
      </c>
      <c r="C22" s="13">
        <v>127.31000379392765</v>
      </c>
      <c r="D22" s="29">
        <v>6338796</v>
      </c>
      <c r="E22" s="30">
        <v>156326</v>
      </c>
      <c r="F22" s="30"/>
      <c r="G22" s="30"/>
      <c r="H22" s="30"/>
      <c r="I22" s="30"/>
      <c r="J22" s="30"/>
      <c r="K22" s="28"/>
      <c r="L22" s="28">
        <f t="shared" si="0"/>
        <v>49790.242801817774</v>
      </c>
      <c r="M22" s="28">
        <f t="shared" si="1"/>
        <v>1227.9160736892252</v>
      </c>
      <c r="N22" s="28">
        <f t="shared" si="2"/>
        <v>0</v>
      </c>
      <c r="O22" s="42">
        <f t="shared" si="3"/>
        <v>0</v>
      </c>
      <c r="P22" s="28"/>
      <c r="Q22" s="28"/>
      <c r="R22" s="28"/>
      <c r="S22" s="28"/>
      <c r="T22" s="8">
        <f t="shared" si="4"/>
        <v>6495122</v>
      </c>
      <c r="U22" s="43">
        <f t="shared" si="5"/>
        <v>51018.158875506997</v>
      </c>
      <c r="V22" s="13">
        <f>D22/$T$22*100</f>
        <v>97.593178388335119</v>
      </c>
      <c r="W22" s="4">
        <f>E22/$T$22*100</f>
        <v>2.4068216116648768</v>
      </c>
      <c r="X22" s="4">
        <f>F22/$T$22*100</f>
        <v>0</v>
      </c>
      <c r="Y22" s="48">
        <f>G22/$T$22*100</f>
        <v>0</v>
      </c>
      <c r="AC22" s="14"/>
    </row>
    <row r="23" spans="1:29" ht="16" x14ac:dyDescent="0.2">
      <c r="A23" s="52" t="s">
        <v>74</v>
      </c>
      <c r="B23" s="8" t="s">
        <v>20</v>
      </c>
      <c r="C23" s="13">
        <v>143.4385517594913</v>
      </c>
      <c r="D23" s="29">
        <v>7530128</v>
      </c>
      <c r="E23" s="30">
        <v>195090</v>
      </c>
      <c r="F23" s="30"/>
      <c r="G23" s="30"/>
      <c r="H23" s="30"/>
      <c r="I23" s="30"/>
      <c r="J23" s="30"/>
      <c r="K23" s="28"/>
      <c r="L23" s="28">
        <f t="shared" si="0"/>
        <v>52497.239463390863</v>
      </c>
      <c r="M23" s="28">
        <f t="shared" si="1"/>
        <v>1360.0946022315854</v>
      </c>
      <c r="N23" s="28">
        <f t="shared" si="2"/>
        <v>0</v>
      </c>
      <c r="O23" s="42">
        <f t="shared" si="3"/>
        <v>0</v>
      </c>
      <c r="P23" s="28"/>
      <c r="Q23" s="28"/>
      <c r="R23" s="28"/>
      <c r="S23" s="28"/>
      <c r="T23" s="8">
        <f t="shared" si="4"/>
        <v>7725218</v>
      </c>
      <c r="U23" s="43">
        <f t="shared" si="5"/>
        <v>53857.334065622446</v>
      </c>
      <c r="V23" s="13">
        <f>D23/$T$23*100</f>
        <v>97.474634372777572</v>
      </c>
      <c r="W23" s="4">
        <f>E23/$T$23*100</f>
        <v>2.525365627222429</v>
      </c>
      <c r="X23" s="4">
        <f>F23/$T$23*100</f>
        <v>0</v>
      </c>
      <c r="Y23" s="48">
        <f>G23/$T$23*100</f>
        <v>0</v>
      </c>
      <c r="AC23" s="14"/>
    </row>
    <row r="24" spans="1:29" ht="16" x14ac:dyDescent="0.2">
      <c r="A24" s="52" t="s">
        <v>76</v>
      </c>
      <c r="B24" s="8" t="s">
        <v>21</v>
      </c>
      <c r="C24" s="13">
        <v>110.74207412094421</v>
      </c>
      <c r="D24" s="29">
        <v>3246744</v>
      </c>
      <c r="E24" s="30">
        <v>148808</v>
      </c>
      <c r="F24" s="30">
        <v>19903</v>
      </c>
      <c r="G24" s="30">
        <v>3282573</v>
      </c>
      <c r="H24" s="30"/>
      <c r="I24" s="30"/>
      <c r="J24" s="30"/>
      <c r="K24" s="28"/>
      <c r="L24" s="28">
        <f t="shared" si="0"/>
        <v>29318.071074361033</v>
      </c>
      <c r="M24" s="28">
        <f t="shared" si="1"/>
        <v>1343.7349912507782</v>
      </c>
      <c r="N24" s="28">
        <f t="shared" si="2"/>
        <v>179.723922980379</v>
      </c>
      <c r="O24" s="42">
        <f t="shared" si="3"/>
        <v>29641.606643695504</v>
      </c>
      <c r="P24" s="28"/>
      <c r="Q24" s="28"/>
      <c r="R24" s="28"/>
      <c r="S24" s="28"/>
      <c r="T24" s="8">
        <f t="shared" si="4"/>
        <v>6698028</v>
      </c>
      <c r="U24" s="43">
        <f t="shared" si="5"/>
        <v>60483.136632287693</v>
      </c>
      <c r="V24" s="13">
        <f>D24/$T$24*100</f>
        <v>48.473132689203446</v>
      </c>
      <c r="W24" s="4">
        <f>E24/$T$24*100</f>
        <v>2.2216688255110308</v>
      </c>
      <c r="X24" s="4">
        <f>F24/$T$24*100</f>
        <v>0.29714716032838318</v>
      </c>
      <c r="Y24" s="48">
        <f>G24/$T$24*100</f>
        <v>49.008051324957137</v>
      </c>
      <c r="AC24" s="14"/>
    </row>
    <row r="25" spans="1:29" ht="16" x14ac:dyDescent="0.2">
      <c r="A25" s="52" t="s">
        <v>78</v>
      </c>
      <c r="B25" s="8" t="s">
        <v>22</v>
      </c>
      <c r="C25" s="13">
        <v>137.29877325454129</v>
      </c>
      <c r="D25" s="29">
        <v>3961147</v>
      </c>
      <c r="E25" s="30">
        <v>80343</v>
      </c>
      <c r="F25" s="30">
        <v>34487</v>
      </c>
      <c r="G25" s="30">
        <v>4163099</v>
      </c>
      <c r="H25" s="30"/>
      <c r="I25" s="30"/>
      <c r="J25" s="30"/>
      <c r="K25" s="28"/>
      <c r="L25" s="28">
        <f t="shared" si="0"/>
        <v>28850.563672964072</v>
      </c>
      <c r="M25" s="28">
        <f t="shared" si="1"/>
        <v>585.16910308477634</v>
      </c>
      <c r="N25" s="28">
        <f t="shared" si="2"/>
        <v>251.18214229098589</v>
      </c>
      <c r="O25" s="42">
        <f t="shared" si="3"/>
        <v>30321.458096948449</v>
      </c>
      <c r="P25" s="28"/>
      <c r="Q25" s="28"/>
      <c r="R25" s="28"/>
      <c r="S25" s="28"/>
      <c r="T25" s="8">
        <f t="shared" si="4"/>
        <v>8239076</v>
      </c>
      <c r="U25" s="43">
        <f t="shared" si="5"/>
        <v>60008.373015288278</v>
      </c>
      <c r="V25" s="13">
        <f>D25/$T$25*100</f>
        <v>48.077563552029382</v>
      </c>
      <c r="W25" s="4">
        <f>E25/$T$25*100</f>
        <v>0.97514575663581682</v>
      </c>
      <c r="X25" s="4">
        <f>F25/$T$25*100</f>
        <v>0.41857849108322343</v>
      </c>
      <c r="Y25" s="48">
        <f>G25/$T$25*100</f>
        <v>50.528712200251583</v>
      </c>
      <c r="AC25" s="14"/>
    </row>
    <row r="26" spans="1:29" ht="17" thickBot="1" x14ac:dyDescent="0.25">
      <c r="A26" s="52" t="s">
        <v>80</v>
      </c>
      <c r="B26" s="8" t="s">
        <v>23</v>
      </c>
      <c r="C26" s="13">
        <v>136.74822250998346</v>
      </c>
      <c r="D26" s="29">
        <v>3605815</v>
      </c>
      <c r="E26" s="30">
        <v>124712</v>
      </c>
      <c r="F26" s="30">
        <v>32935</v>
      </c>
      <c r="G26" s="30">
        <v>3532422</v>
      </c>
      <c r="H26" s="30"/>
      <c r="I26" s="30"/>
      <c r="J26" s="30"/>
      <c r="K26" s="28"/>
      <c r="L26" s="28">
        <f t="shared" si="0"/>
        <v>26368.276923941394</v>
      </c>
      <c r="M26" s="28">
        <f t="shared" si="1"/>
        <v>911.98260358298444</v>
      </c>
      <c r="N26" s="28">
        <f t="shared" si="2"/>
        <v>240.84408115502592</v>
      </c>
      <c r="O26" s="42">
        <f t="shared" si="3"/>
        <v>25831.575249485319</v>
      </c>
      <c r="P26" s="28"/>
      <c r="Q26" s="28"/>
      <c r="R26" s="28"/>
      <c r="S26" s="28"/>
      <c r="T26" s="8">
        <f t="shared" si="4"/>
        <v>7295884</v>
      </c>
      <c r="U26" s="43">
        <f t="shared" si="5"/>
        <v>53352.67885816472</v>
      </c>
      <c r="V26" s="13">
        <f>D26/$T$26*100</f>
        <v>49.422592245161795</v>
      </c>
      <c r="W26" s="4">
        <f>E26/$T$26*100</f>
        <v>1.7093473525620746</v>
      </c>
      <c r="X26" s="4">
        <f>F26/$T$26*100</f>
        <v>0.45141890962082187</v>
      </c>
      <c r="Y26" s="48">
        <f>G26/$T$26*100</f>
        <v>48.416641492655309</v>
      </c>
      <c r="AC26" s="14"/>
    </row>
    <row r="27" spans="1:29" s="95" customFormat="1" x14ac:dyDescent="0.2">
      <c r="A27" s="109" t="s">
        <v>82</v>
      </c>
      <c r="B27" s="88" t="s">
        <v>24</v>
      </c>
      <c r="C27" s="89">
        <v>117.01602075231662</v>
      </c>
      <c r="D27" s="90">
        <v>2664139</v>
      </c>
      <c r="E27" s="91">
        <v>70903</v>
      </c>
      <c r="F27" s="91">
        <v>33169</v>
      </c>
      <c r="G27" s="91">
        <v>3927738</v>
      </c>
      <c r="H27" s="91"/>
      <c r="I27" s="91"/>
      <c r="J27" s="91"/>
      <c r="K27" s="92"/>
      <c r="L27" s="92">
        <f t="shared" si="0"/>
        <v>22767.301288078168</v>
      </c>
      <c r="M27" s="92">
        <f t="shared" si="1"/>
        <v>605.92557791789636</v>
      </c>
      <c r="N27" s="92">
        <f t="shared" si="2"/>
        <v>283.45691288039581</v>
      </c>
      <c r="O27" s="93">
        <f t="shared" si="3"/>
        <v>33565.814106033344</v>
      </c>
      <c r="P27" s="92"/>
      <c r="Q27" s="92"/>
      <c r="R27" s="92"/>
      <c r="S27" s="92"/>
      <c r="T27" s="88">
        <f t="shared" si="4"/>
        <v>6695949</v>
      </c>
      <c r="U27" s="94">
        <f t="shared" si="5"/>
        <v>57222.497884909804</v>
      </c>
      <c r="V27" s="89">
        <f>D27/$T$27*100</f>
        <v>39.787325142410737</v>
      </c>
      <c r="W27" s="95">
        <f>E27/$T$27*100</f>
        <v>1.0588939670836799</v>
      </c>
      <c r="X27" s="95">
        <f>F27/$T$27*100</f>
        <v>0.49535920897844354</v>
      </c>
      <c r="Y27" s="96">
        <f>G27/$T$27*100</f>
        <v>58.658421681527138</v>
      </c>
      <c r="AC27" s="97"/>
    </row>
    <row r="28" spans="1:29" x14ac:dyDescent="0.2">
      <c r="A28" s="110" t="s">
        <v>84</v>
      </c>
      <c r="B28" s="8" t="s">
        <v>25</v>
      </c>
      <c r="C28" s="13">
        <v>124.6589491999994</v>
      </c>
      <c r="D28" s="29">
        <v>3289139</v>
      </c>
      <c r="E28" s="30">
        <v>75532</v>
      </c>
      <c r="F28" s="30">
        <v>24714</v>
      </c>
      <c r="G28" s="30">
        <v>4380874</v>
      </c>
      <c r="H28" s="30"/>
      <c r="I28" s="30"/>
      <c r="J28" s="30"/>
      <c r="K28" s="28"/>
      <c r="L28" s="28">
        <f t="shared" si="0"/>
        <v>26385.101279194932</v>
      </c>
      <c r="M28" s="28">
        <f t="shared" si="1"/>
        <v>605.90916644755714</v>
      </c>
      <c r="N28" s="28">
        <f t="shared" si="2"/>
        <v>198.25291452079816</v>
      </c>
      <c r="O28" s="42">
        <f t="shared" si="3"/>
        <v>35142.876047923732</v>
      </c>
      <c r="P28" s="28"/>
      <c r="Q28" s="28"/>
      <c r="R28" s="28"/>
      <c r="S28" s="28"/>
      <c r="T28" s="8">
        <f t="shared" si="4"/>
        <v>7770259</v>
      </c>
      <c r="U28" s="43">
        <f t="shared" si="5"/>
        <v>62332.139408087023</v>
      </c>
      <c r="V28" s="13">
        <f>D28/$T$28*100</f>
        <v>42.329850266252386</v>
      </c>
      <c r="W28" s="4">
        <f>E28/$T$28*100</f>
        <v>0.97206540991748147</v>
      </c>
      <c r="X28" s="4">
        <f>F28/$T$28*100</f>
        <v>0.31805889610629451</v>
      </c>
      <c r="Y28" s="48">
        <f>G28/$T$28*100</f>
        <v>56.380025427723837</v>
      </c>
      <c r="AC28" s="14"/>
    </row>
    <row r="29" spans="1:29" s="106" customFormat="1" ht="17" thickBot="1" x14ac:dyDescent="0.25">
      <c r="A29" s="98" t="s">
        <v>86</v>
      </c>
      <c r="B29" s="99" t="s">
        <v>26</v>
      </c>
      <c r="C29" s="100">
        <v>131.82322224628973</v>
      </c>
      <c r="D29" s="101">
        <v>3851809</v>
      </c>
      <c r="E29" s="102">
        <v>99087</v>
      </c>
      <c r="F29" s="102"/>
      <c r="G29" s="102">
        <v>4762423</v>
      </c>
      <c r="H29" s="102"/>
      <c r="I29" s="102"/>
      <c r="J29" s="102"/>
      <c r="K29" s="103"/>
      <c r="L29" s="103">
        <f t="shared" si="0"/>
        <v>29219.502712530699</v>
      </c>
      <c r="M29" s="103">
        <f t="shared" si="1"/>
        <v>751.6657407666188</v>
      </c>
      <c r="N29" s="103">
        <f t="shared" si="2"/>
        <v>0</v>
      </c>
      <c r="O29" s="104">
        <f t="shared" si="3"/>
        <v>36127.34477922415</v>
      </c>
      <c r="P29" s="103"/>
      <c r="Q29" s="103"/>
      <c r="R29" s="103"/>
      <c r="S29" s="103"/>
      <c r="T29" s="99">
        <f t="shared" si="4"/>
        <v>8713319</v>
      </c>
      <c r="U29" s="105">
        <f t="shared" si="5"/>
        <v>66098.513232521465</v>
      </c>
      <c r="V29" s="100">
        <f>D29/$T$29*100</f>
        <v>44.205990851476919</v>
      </c>
      <c r="W29" s="106">
        <f>E29/$T$29*100</f>
        <v>1.1371900879561507</v>
      </c>
      <c r="X29" s="106">
        <f>F29/$T$29*100</f>
        <v>0</v>
      </c>
      <c r="Y29" s="107">
        <f>G29/$T$29*100</f>
        <v>54.656819060566932</v>
      </c>
      <c r="AC29" s="108"/>
    </row>
    <row r="30" spans="1:29" x14ac:dyDescent="0.2">
      <c r="A30" s="1" t="s">
        <v>88</v>
      </c>
      <c r="B30" s="8" t="s">
        <v>27</v>
      </c>
      <c r="C30" s="13">
        <v>120.13545845490287</v>
      </c>
      <c r="D30" s="29">
        <v>5921861</v>
      </c>
      <c r="E30" s="30">
        <v>124795</v>
      </c>
      <c r="F30" s="30"/>
      <c r="G30" s="30"/>
      <c r="H30" s="30"/>
      <c r="I30" s="30"/>
      <c r="J30" s="30"/>
      <c r="K30" s="28"/>
      <c r="L30" s="28">
        <f t="shared" si="0"/>
        <v>49293.19849578783</v>
      </c>
      <c r="M30" s="28">
        <f t="shared" si="1"/>
        <v>1038.7857307494794</v>
      </c>
      <c r="N30" s="28">
        <f t="shared" si="2"/>
        <v>0</v>
      </c>
      <c r="O30" s="42">
        <f t="shared" si="3"/>
        <v>0</v>
      </c>
      <c r="P30" s="28"/>
      <c r="Q30" s="28"/>
      <c r="R30" s="28"/>
      <c r="S30" s="28"/>
      <c r="T30" s="8">
        <f t="shared" si="4"/>
        <v>6046656</v>
      </c>
      <c r="U30" s="43">
        <f t="shared" si="5"/>
        <v>50331.984226537308</v>
      </c>
      <c r="V30" s="13">
        <f>D30/$T$30*100</f>
        <v>97.93613197112586</v>
      </c>
      <c r="W30" s="4">
        <f>E30/$T$30*100</f>
        <v>2.0638680288741411</v>
      </c>
      <c r="X30" s="4">
        <f>F30/$T$30*100</f>
        <v>0</v>
      </c>
      <c r="Y30" s="48">
        <f>G30/$T$30*100</f>
        <v>0</v>
      </c>
      <c r="AC30" s="14"/>
    </row>
    <row r="31" spans="1:29" x14ac:dyDescent="0.2">
      <c r="A31" s="1" t="s">
        <v>90</v>
      </c>
      <c r="B31" s="8" t="s">
        <v>28</v>
      </c>
      <c r="C31" s="13">
        <v>133.6306416614492</v>
      </c>
      <c r="D31" s="29">
        <v>6276001</v>
      </c>
      <c r="E31" s="30">
        <v>169619</v>
      </c>
      <c r="F31" s="30"/>
      <c r="G31" s="30"/>
      <c r="H31" s="30"/>
      <c r="I31" s="30"/>
      <c r="J31" s="30"/>
      <c r="K31" s="28"/>
      <c r="L31" s="28">
        <f t="shared" si="0"/>
        <v>46965.283725121473</v>
      </c>
      <c r="M31" s="28">
        <f t="shared" si="1"/>
        <v>1269.3121719023593</v>
      </c>
      <c r="N31" s="28">
        <f t="shared" si="2"/>
        <v>0</v>
      </c>
      <c r="O31" s="42">
        <f t="shared" si="3"/>
        <v>0</v>
      </c>
      <c r="P31" s="28"/>
      <c r="Q31" s="28"/>
      <c r="R31" s="28"/>
      <c r="S31" s="28"/>
      <c r="T31" s="8">
        <f t="shared" si="4"/>
        <v>6445620</v>
      </c>
      <c r="U31" s="43">
        <f t="shared" si="5"/>
        <v>48234.595897023835</v>
      </c>
      <c r="V31" s="13">
        <f>D31/$T$31*100</f>
        <v>97.368461063481874</v>
      </c>
      <c r="W31" s="4">
        <f>E31/$T$31*100</f>
        <v>2.6315389365181319</v>
      </c>
      <c r="X31" s="4">
        <f>F31/$T$31*100</f>
        <v>0</v>
      </c>
      <c r="Y31" s="48">
        <f>G31/$T$31*100</f>
        <v>0</v>
      </c>
      <c r="AC31" s="14"/>
    </row>
    <row r="32" spans="1:29" x14ac:dyDescent="0.2">
      <c r="A32" s="1" t="s">
        <v>92</v>
      </c>
      <c r="B32" s="8" t="s">
        <v>29</v>
      </c>
      <c r="C32" s="13">
        <v>89.665815943679206</v>
      </c>
      <c r="D32" s="29">
        <v>7960787</v>
      </c>
      <c r="E32" s="30">
        <v>178090</v>
      </c>
      <c r="F32" s="30"/>
      <c r="G32" s="30">
        <v>16358</v>
      </c>
      <c r="H32" s="30"/>
      <c r="I32" s="30"/>
      <c r="J32" s="30"/>
      <c r="K32" s="28"/>
      <c r="L32" s="28">
        <f t="shared" si="0"/>
        <v>88782.853490122929</v>
      </c>
      <c r="M32" s="28">
        <f t="shared" si="1"/>
        <v>1986.1526728520678</v>
      </c>
      <c r="N32" s="28">
        <f t="shared" si="2"/>
        <v>0</v>
      </c>
      <c r="O32" s="42">
        <f t="shared" si="3"/>
        <v>182.43295761982213</v>
      </c>
      <c r="P32" s="28"/>
      <c r="Q32" s="28"/>
      <c r="R32" s="28"/>
      <c r="S32" s="28"/>
      <c r="T32" s="8">
        <f t="shared" si="4"/>
        <v>8155235</v>
      </c>
      <c r="U32" s="43">
        <f t="shared" si="5"/>
        <v>90951.43912059482</v>
      </c>
      <c r="V32" s="13">
        <f>D32/$T$32*100</f>
        <v>97.615666501333195</v>
      </c>
      <c r="W32" s="4">
        <f>E32/$T$32*100</f>
        <v>2.1837506828435971</v>
      </c>
      <c r="X32" s="4">
        <f>F32/$T$32*100</f>
        <v>0</v>
      </c>
      <c r="Y32" s="48">
        <f>G32/$T$32*100</f>
        <v>0.20058281582321047</v>
      </c>
      <c r="AC32" s="14"/>
    </row>
    <row r="33" spans="1:29" x14ac:dyDescent="0.2">
      <c r="A33" s="1" t="s">
        <v>94</v>
      </c>
      <c r="B33" s="8" t="s">
        <v>30</v>
      </c>
      <c r="C33" s="13">
        <v>117.18257637794109</v>
      </c>
      <c r="D33" s="29">
        <v>3244617</v>
      </c>
      <c r="E33" s="30">
        <v>92335</v>
      </c>
      <c r="F33" s="30"/>
      <c r="G33" s="30">
        <v>3225734</v>
      </c>
      <c r="H33" s="30"/>
      <c r="I33" s="30"/>
      <c r="J33" s="30"/>
      <c r="K33" s="28"/>
      <c r="L33" s="28">
        <f t="shared" si="0"/>
        <v>27688.561732380374</v>
      </c>
      <c r="M33" s="28">
        <f t="shared" si="1"/>
        <v>787.95843933485583</v>
      </c>
      <c r="N33" s="28">
        <f t="shared" si="2"/>
        <v>0</v>
      </c>
      <c r="O33" s="42">
        <f t="shared" si="3"/>
        <v>27527.420028693148</v>
      </c>
      <c r="P33" s="28"/>
      <c r="Q33" s="28"/>
      <c r="R33" s="28"/>
      <c r="S33" s="28"/>
      <c r="T33" s="8">
        <f t="shared" si="4"/>
        <v>6562686</v>
      </c>
      <c r="U33" s="43">
        <f t="shared" si="5"/>
        <v>56003.940200408382</v>
      </c>
      <c r="V33" s="13">
        <f>D33/$T$33*100</f>
        <v>49.440381575470774</v>
      </c>
      <c r="W33" s="4">
        <f>E33/$T$33*100</f>
        <v>1.4069696462698353</v>
      </c>
      <c r="X33" s="4">
        <f>F33/$T$33*100</f>
        <v>0</v>
      </c>
      <c r="Y33" s="48">
        <f>G33/$T$33*100</f>
        <v>49.15264877825939</v>
      </c>
      <c r="AC33" s="14"/>
    </row>
    <row r="34" spans="1:29" x14ac:dyDescent="0.2">
      <c r="A34" s="1" t="s">
        <v>96</v>
      </c>
      <c r="B34" s="8" t="s">
        <v>31</v>
      </c>
      <c r="C34" s="13">
        <v>93.866959001563146</v>
      </c>
      <c r="D34" s="29">
        <v>3838160</v>
      </c>
      <c r="E34" s="30">
        <v>91664</v>
      </c>
      <c r="F34" s="30">
        <v>5867</v>
      </c>
      <c r="G34" s="30">
        <v>3234136</v>
      </c>
      <c r="H34" s="30"/>
      <c r="I34" s="30"/>
      <c r="J34" s="30"/>
      <c r="K34" s="28"/>
      <c r="L34" s="28">
        <f t="shared" si="0"/>
        <v>40889.361292039772</v>
      </c>
      <c r="M34" s="28">
        <f t="shared" si="1"/>
        <v>976.53104963668352</v>
      </c>
      <c r="N34" s="28">
        <f t="shared" si="2"/>
        <v>62.503356478207607</v>
      </c>
      <c r="O34" s="42">
        <f t="shared" si="3"/>
        <v>34454.466559912129</v>
      </c>
      <c r="P34" s="28"/>
      <c r="Q34" s="28"/>
      <c r="R34" s="28"/>
      <c r="S34" s="28"/>
      <c r="T34" s="8">
        <f t="shared" si="4"/>
        <v>7169827</v>
      </c>
      <c r="U34" s="43">
        <f t="shared" si="5"/>
        <v>76382.862258066787</v>
      </c>
      <c r="V34" s="13">
        <f>D34/$T$34*100</f>
        <v>53.532114512665366</v>
      </c>
      <c r="W34" s="4">
        <f>E34/$T$34*100</f>
        <v>1.2784687831380033</v>
      </c>
      <c r="X34" s="4">
        <f>F34/$T$34*100</f>
        <v>8.1829031579144104E-2</v>
      </c>
      <c r="Y34" s="48">
        <f>G34/$T$34*100</f>
        <v>45.107587672617484</v>
      </c>
      <c r="AC34" s="14"/>
    </row>
    <row r="35" spans="1:29" ht="16" thickBot="1" x14ac:dyDescent="0.25">
      <c r="A35" s="1" t="s">
        <v>98</v>
      </c>
      <c r="B35" s="8" t="s">
        <v>32</v>
      </c>
      <c r="C35" s="13">
        <v>124.3878226689603</v>
      </c>
      <c r="D35" s="29">
        <v>3203009</v>
      </c>
      <c r="E35" s="30">
        <v>103168</v>
      </c>
      <c r="F35" s="30"/>
      <c r="G35" s="30">
        <v>2761621</v>
      </c>
      <c r="H35" s="30"/>
      <c r="I35" s="30"/>
      <c r="J35" s="30"/>
      <c r="K35" s="28"/>
      <c r="L35" s="28">
        <f t="shared" si="0"/>
        <v>25750.181418677392</v>
      </c>
      <c r="M35" s="28">
        <f t="shared" si="1"/>
        <v>829.40594815753229</v>
      </c>
      <c r="N35" s="28">
        <f t="shared" si="2"/>
        <v>0</v>
      </c>
      <c r="O35" s="42">
        <f t="shared" si="3"/>
        <v>22201.699014779315</v>
      </c>
      <c r="P35" s="28"/>
      <c r="Q35" s="28"/>
      <c r="R35" s="28"/>
      <c r="S35" s="28"/>
      <c r="T35" s="8">
        <f t="shared" si="4"/>
        <v>6067798</v>
      </c>
      <c r="U35" s="43">
        <f t="shared" si="5"/>
        <v>48781.286381614234</v>
      </c>
      <c r="V35" s="13">
        <f>D35/$T$35*100</f>
        <v>52.787007741523361</v>
      </c>
      <c r="W35" s="4">
        <f>E35/$T$35*100</f>
        <v>1.700254359159616</v>
      </c>
      <c r="X35" s="4">
        <f>F35/$T$35*100</f>
        <v>0</v>
      </c>
      <c r="Y35" s="48">
        <f>G35/$T$35*100</f>
        <v>45.512737899317017</v>
      </c>
      <c r="AC35" s="14"/>
    </row>
    <row r="36" spans="1:29" s="95" customFormat="1" x14ac:dyDescent="0.2">
      <c r="A36" s="109" t="s">
        <v>100</v>
      </c>
      <c r="B36" s="88" t="s">
        <v>33</v>
      </c>
      <c r="C36" s="89">
        <v>116.31998434140461</v>
      </c>
      <c r="D36" s="90">
        <v>2846100</v>
      </c>
      <c r="E36" s="91">
        <v>89581</v>
      </c>
      <c r="F36" s="91">
        <v>22554</v>
      </c>
      <c r="G36" s="91">
        <v>3649872</v>
      </c>
      <c r="H36" s="91"/>
      <c r="I36" s="91"/>
      <c r="J36" s="91"/>
      <c r="K36" s="92"/>
      <c r="L36" s="92">
        <f t="shared" si="0"/>
        <v>24467.85061152143</v>
      </c>
      <c r="M36" s="92">
        <f t="shared" si="1"/>
        <v>770.12561949007466</v>
      </c>
      <c r="N36" s="92">
        <f t="shared" si="2"/>
        <v>193.89617465733966</v>
      </c>
      <c r="O36" s="93">
        <f t="shared" si="3"/>
        <v>31377.858419301832</v>
      </c>
      <c r="P36" s="92"/>
      <c r="Q36" s="92"/>
      <c r="R36" s="92"/>
      <c r="S36" s="92"/>
      <c r="T36" s="88">
        <f t="shared" si="4"/>
        <v>6608107</v>
      </c>
      <c r="U36" s="94">
        <f t="shared" si="5"/>
        <v>56809.730824970677</v>
      </c>
      <c r="V36" s="89">
        <f>D36/$T$36*100</f>
        <v>43.069823173262783</v>
      </c>
      <c r="W36" s="95">
        <f>E36/$T$36*100</f>
        <v>1.3556227222107633</v>
      </c>
      <c r="X36" s="95">
        <f>F36/$T$36*100</f>
        <v>0.34130803269378052</v>
      </c>
      <c r="Y36" s="96">
        <f>G36/$T$36*100</f>
        <v>55.233246071832674</v>
      </c>
      <c r="AC36" s="97"/>
    </row>
    <row r="37" spans="1:29" x14ac:dyDescent="0.2">
      <c r="A37" s="110" t="s">
        <v>102</v>
      </c>
      <c r="B37" s="8" t="s">
        <v>34</v>
      </c>
      <c r="C37" s="13">
        <v>75.56969360035805</v>
      </c>
      <c r="D37" s="29">
        <v>4008082</v>
      </c>
      <c r="E37" s="30">
        <v>126279</v>
      </c>
      <c r="F37" s="30">
        <v>10441</v>
      </c>
      <c r="G37" s="30">
        <v>4265101</v>
      </c>
      <c r="H37" s="30"/>
      <c r="I37" s="30"/>
      <c r="J37" s="30"/>
      <c r="K37" s="28"/>
      <c r="L37" s="28">
        <f t="shared" si="0"/>
        <v>53038.219543356856</v>
      </c>
      <c r="M37" s="28">
        <f t="shared" si="1"/>
        <v>1671.0270213322883</v>
      </c>
      <c r="N37" s="28">
        <f t="shared" si="2"/>
        <v>138.16385249907287</v>
      </c>
      <c r="O37" s="42">
        <f t="shared" si="3"/>
        <v>56439.305187017351</v>
      </c>
      <c r="P37" s="28"/>
      <c r="Q37" s="28"/>
      <c r="R37" s="28"/>
      <c r="S37" s="28"/>
      <c r="T37" s="8">
        <f t="shared" si="4"/>
        <v>8409903</v>
      </c>
      <c r="U37" s="43">
        <f t="shared" si="5"/>
        <v>111286.71560420556</v>
      </c>
      <c r="V37" s="13">
        <f>D37/$T$37*100</f>
        <v>47.659075259250912</v>
      </c>
      <c r="W37" s="4">
        <f>E37/$T$37*100</f>
        <v>1.5015512069520898</v>
      </c>
      <c r="X37" s="4">
        <f>F37/$T$37*100</f>
        <v>0.12415125358758597</v>
      </c>
      <c r="Y37" s="48">
        <f>G37/$T$37*100</f>
        <v>50.715222280209417</v>
      </c>
      <c r="AC37" s="14"/>
    </row>
    <row r="38" spans="1:29" s="106" customFormat="1" ht="16" thickBot="1" x14ac:dyDescent="0.25">
      <c r="A38" s="111" t="s">
        <v>104</v>
      </c>
      <c r="B38" s="99" t="s">
        <v>35</v>
      </c>
      <c r="C38" s="100">
        <v>99.747880680763927</v>
      </c>
      <c r="D38" s="101">
        <v>4028224</v>
      </c>
      <c r="E38" s="102">
        <v>79461</v>
      </c>
      <c r="F38" s="102">
        <v>25951</v>
      </c>
      <c r="G38" s="102">
        <v>4350082</v>
      </c>
      <c r="H38" s="102"/>
      <c r="I38" s="102"/>
      <c r="J38" s="102"/>
      <c r="K38" s="103"/>
      <c r="L38" s="103">
        <f t="shared" si="0"/>
        <v>40384.056007084975</v>
      </c>
      <c r="M38" s="103">
        <f t="shared" si="1"/>
        <v>796.61842896000303</v>
      </c>
      <c r="N38" s="103">
        <f t="shared" si="2"/>
        <v>260.16592856798979</v>
      </c>
      <c r="O38" s="104">
        <f t="shared" si="3"/>
        <v>43610.771179411131</v>
      </c>
      <c r="P38" s="103"/>
      <c r="Q38" s="103"/>
      <c r="R38" s="103"/>
      <c r="S38" s="103"/>
      <c r="T38" s="99">
        <f t="shared" si="4"/>
        <v>8483718</v>
      </c>
      <c r="U38" s="105">
        <f t="shared" si="5"/>
        <v>85051.611544024112</v>
      </c>
      <c r="V38" s="100">
        <f>D38/$T$38*100</f>
        <v>47.481823417515763</v>
      </c>
      <c r="W38" s="106">
        <f>E38/$T$38*100</f>
        <v>0.93662943534898269</v>
      </c>
      <c r="X38" s="106">
        <f>F38/$T$38*100</f>
        <v>0.30589182714465524</v>
      </c>
      <c r="Y38" s="107">
        <f>G38/$T$38*100</f>
        <v>51.275655319990598</v>
      </c>
      <c r="AC38" s="108"/>
    </row>
  </sheetData>
  <mergeCells count="7">
    <mergeCell ref="V1:AC1"/>
    <mergeCell ref="U1:U2"/>
    <mergeCell ref="A1:B2"/>
    <mergeCell ref="C1:C2"/>
    <mergeCell ref="D1:K1"/>
    <mergeCell ref="L1:S1"/>
    <mergeCell ref="T1:T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8"/>
  <sheetViews>
    <sheetView showGridLines="0" workbookViewId="0">
      <pane xSplit="2" topLeftCell="C1" activePane="topRight" state="frozen"/>
      <selection pane="topRight" activeCell="Y33" sqref="Y33:Y35"/>
    </sheetView>
  </sheetViews>
  <sheetFormatPr baseColWidth="10" defaultColWidth="8.6640625" defaultRowHeight="15" x14ac:dyDescent="0.2"/>
  <cols>
    <col min="1" max="1" width="21.33203125" style="50" bestFit="1" customWidth="1"/>
    <col min="2" max="2" width="9.33203125" style="4" bestFit="1" customWidth="1"/>
    <col min="3" max="3" width="6.83203125" style="4" bestFit="1" customWidth="1"/>
    <col min="4" max="7" width="8.33203125" style="4" bestFit="1" customWidth="1"/>
    <col min="8" max="11" width="4.5" style="4" bestFit="1" customWidth="1"/>
    <col min="12" max="15" width="8.33203125" style="4" bestFit="1" customWidth="1"/>
    <col min="16" max="19" width="4.5" style="4" bestFit="1" customWidth="1"/>
    <col min="20" max="20" width="14.1640625" style="4" bestFit="1" customWidth="1"/>
    <col min="21" max="21" width="21.6640625" style="4" bestFit="1" customWidth="1"/>
    <col min="22" max="22" width="5.33203125" style="4" bestFit="1" customWidth="1"/>
    <col min="23" max="24" width="4.5" style="4" bestFit="1" customWidth="1"/>
    <col min="25" max="25" width="5.33203125" style="4" bestFit="1" customWidth="1"/>
    <col min="26" max="29" width="4.5" style="4" bestFit="1" customWidth="1"/>
    <col min="30" max="16384" width="8.6640625" style="4"/>
  </cols>
  <sheetData>
    <row r="1" spans="1:29" x14ac:dyDescent="0.2">
      <c r="A1" s="121" t="s">
        <v>54</v>
      </c>
      <c r="B1" s="122"/>
      <c r="C1" s="125" t="s">
        <v>48</v>
      </c>
      <c r="D1" s="127" t="s">
        <v>46</v>
      </c>
      <c r="E1" s="127"/>
      <c r="F1" s="127"/>
      <c r="G1" s="127"/>
      <c r="H1" s="127"/>
      <c r="I1" s="127"/>
      <c r="J1" s="127"/>
      <c r="K1" s="127"/>
      <c r="L1" s="128" t="s">
        <v>49</v>
      </c>
      <c r="M1" s="129"/>
      <c r="N1" s="129"/>
      <c r="O1" s="129"/>
      <c r="P1" s="129"/>
      <c r="Q1" s="129"/>
      <c r="R1" s="129"/>
      <c r="S1" s="130"/>
      <c r="T1" s="119" t="s">
        <v>45</v>
      </c>
      <c r="U1" s="119" t="s">
        <v>141</v>
      </c>
      <c r="V1" s="117" t="s">
        <v>47</v>
      </c>
      <c r="W1" s="117"/>
      <c r="X1" s="117"/>
      <c r="Y1" s="117"/>
      <c r="Z1" s="117"/>
      <c r="AA1" s="117"/>
      <c r="AB1" s="117"/>
      <c r="AC1" s="118"/>
    </row>
    <row r="2" spans="1:29" x14ac:dyDescent="0.2">
      <c r="A2" s="123"/>
      <c r="B2" s="124"/>
      <c r="C2" s="126"/>
      <c r="D2" s="5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7" t="s">
        <v>43</v>
      </c>
      <c r="L2" s="5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7" t="s">
        <v>43</v>
      </c>
      <c r="T2" s="120"/>
      <c r="U2" s="120"/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  <c r="AB2" s="6" t="s">
        <v>42</v>
      </c>
      <c r="AC2" s="7" t="s">
        <v>43</v>
      </c>
    </row>
    <row r="3" spans="1:29" x14ac:dyDescent="0.2">
      <c r="A3" s="1" t="s">
        <v>106</v>
      </c>
      <c r="B3" s="8" t="s">
        <v>0</v>
      </c>
      <c r="C3" s="13">
        <v>151.61856590318203</v>
      </c>
      <c r="D3" s="25">
        <v>346734120</v>
      </c>
      <c r="E3" s="26">
        <v>11799151</v>
      </c>
      <c r="F3" s="26">
        <v>58849</v>
      </c>
      <c r="G3" s="26">
        <v>4586</v>
      </c>
      <c r="H3" s="26"/>
      <c r="I3" s="26"/>
      <c r="J3" s="26"/>
      <c r="K3" s="27"/>
      <c r="L3" s="28">
        <f t="shared" ref="L3:L38" si="0">D3/$C3</f>
        <v>2286884.3135042675</v>
      </c>
      <c r="M3" s="28">
        <f t="shared" ref="M3:M38" si="1">E3/$C3</f>
        <v>77821.280855106481</v>
      </c>
      <c r="N3" s="28">
        <f t="shared" ref="N3:N38" si="2">F3/$C3</f>
        <v>388.13848191638203</v>
      </c>
      <c r="O3" s="42">
        <f t="shared" ref="O3:O38" si="3">G3/$C3</f>
        <v>30.246955395478736</v>
      </c>
      <c r="P3" s="28"/>
      <c r="Q3" s="28"/>
      <c r="R3" s="28"/>
      <c r="S3" s="28"/>
      <c r="T3" s="8">
        <f>SUM(D3:K3)</f>
        <v>358596706</v>
      </c>
      <c r="U3" s="43">
        <f>SUM(L3:S3)</f>
        <v>2365123.9797966862</v>
      </c>
      <c r="V3" s="10">
        <f>D3/$T$3*100</f>
        <v>96.691942284600913</v>
      </c>
      <c r="W3" s="11">
        <f>E3/$T$3*100</f>
        <v>3.29036792658101</v>
      </c>
      <c r="X3" s="11">
        <f>F3/$T$3*100</f>
        <v>1.6410914828648763E-2</v>
      </c>
      <c r="Y3" s="47">
        <f>G3/$T$3*100</f>
        <v>1.2788739894336897E-3</v>
      </c>
      <c r="Z3" s="11"/>
      <c r="AA3" s="11"/>
      <c r="AB3" s="11"/>
      <c r="AC3" s="12"/>
    </row>
    <row r="4" spans="1:29" x14ac:dyDescent="0.2">
      <c r="A4" s="1" t="s">
        <v>108</v>
      </c>
      <c r="B4" s="8" t="s">
        <v>1</v>
      </c>
      <c r="C4" s="13">
        <v>144.60827361219867</v>
      </c>
      <c r="D4" s="29">
        <v>660113339</v>
      </c>
      <c r="E4" s="30">
        <v>22288199</v>
      </c>
      <c r="F4" s="30">
        <v>131763</v>
      </c>
      <c r="G4" s="30">
        <v>19732</v>
      </c>
      <c r="H4" s="30"/>
      <c r="I4" s="30"/>
      <c r="J4" s="30"/>
      <c r="K4" s="28"/>
      <c r="L4" s="28">
        <f t="shared" si="0"/>
        <v>4564837.9758010954</v>
      </c>
      <c r="M4" s="28">
        <f t="shared" si="1"/>
        <v>154128.10376099974</v>
      </c>
      <c r="N4" s="28">
        <f t="shared" si="2"/>
        <v>911.17193165139145</v>
      </c>
      <c r="O4" s="42">
        <f t="shared" si="3"/>
        <v>136.45139041571045</v>
      </c>
      <c r="P4" s="28"/>
      <c r="Q4" s="28"/>
      <c r="R4" s="28"/>
      <c r="S4" s="28"/>
      <c r="T4" s="8">
        <f t="shared" ref="T4:T38" si="4">SUM(D4:K4)</f>
        <v>682553033</v>
      </c>
      <c r="U4" s="43">
        <f t="shared" ref="U4:U38" si="5">SUM(L4:S4)</f>
        <v>4720013.7028841618</v>
      </c>
      <c r="V4" s="13">
        <f>D4/$T$4*100</f>
        <v>96.712388207935774</v>
      </c>
      <c r="W4" s="4">
        <f>E4/$T$4*100</f>
        <v>3.2654164471348848</v>
      </c>
      <c r="X4" s="4">
        <f>F4/$T$4*100</f>
        <v>1.9304434033626219E-2</v>
      </c>
      <c r="Y4" s="48">
        <f>G4/$T$4*100</f>
        <v>2.8909108957105756E-3</v>
      </c>
      <c r="AC4" s="14"/>
    </row>
    <row r="5" spans="1:29" ht="17" thickBot="1" x14ac:dyDescent="0.25">
      <c r="A5" s="52" t="s">
        <v>110</v>
      </c>
      <c r="B5" s="8" t="s">
        <v>2</v>
      </c>
      <c r="C5" s="13">
        <v>126.18510720293932</v>
      </c>
      <c r="D5" s="29">
        <v>588455266</v>
      </c>
      <c r="E5" s="30">
        <v>20027471</v>
      </c>
      <c r="F5" s="30">
        <v>86747</v>
      </c>
      <c r="G5" s="30">
        <v>10814</v>
      </c>
      <c r="H5" s="30"/>
      <c r="I5" s="30"/>
      <c r="J5" s="30"/>
      <c r="K5" s="28"/>
      <c r="L5" s="28">
        <f t="shared" si="0"/>
        <v>4663428.8232890032</v>
      </c>
      <c r="M5" s="28">
        <f t="shared" si="1"/>
        <v>158715.0135537824</v>
      </c>
      <c r="N5" s="28">
        <f t="shared" si="2"/>
        <v>687.45830568172892</v>
      </c>
      <c r="O5" s="42">
        <f t="shared" si="3"/>
        <v>85.699495286778998</v>
      </c>
      <c r="P5" s="28"/>
      <c r="Q5" s="28"/>
      <c r="R5" s="28"/>
      <c r="S5" s="28"/>
      <c r="T5" s="8">
        <f t="shared" si="4"/>
        <v>608580298</v>
      </c>
      <c r="U5" s="43">
        <f t="shared" si="5"/>
        <v>4822916.9946437543</v>
      </c>
      <c r="V5" s="13">
        <f>D5/$T$5*100</f>
        <v>96.693118054242362</v>
      </c>
      <c r="W5" s="4">
        <f>E5/$T$5*100</f>
        <v>3.2908510291603292</v>
      </c>
      <c r="X5" s="4">
        <f>F5/$T$5*100</f>
        <v>1.4253994137680744E-2</v>
      </c>
      <c r="Y5" s="48">
        <f>G5/$T$5*100</f>
        <v>1.7769224596225755E-3</v>
      </c>
      <c r="AC5" s="14"/>
    </row>
    <row r="6" spans="1:29" s="95" customFormat="1" ht="16" x14ac:dyDescent="0.2">
      <c r="A6" s="52" t="s">
        <v>112</v>
      </c>
      <c r="B6" s="88" t="s">
        <v>3</v>
      </c>
      <c r="C6" s="89">
        <v>139.22341121667353</v>
      </c>
      <c r="D6" s="90">
        <v>582666736</v>
      </c>
      <c r="E6" s="91">
        <v>19717400</v>
      </c>
      <c r="F6" s="91">
        <v>1542293</v>
      </c>
      <c r="G6" s="91">
        <v>118585236</v>
      </c>
      <c r="H6" s="91"/>
      <c r="I6" s="91"/>
      <c r="J6" s="91"/>
      <c r="K6" s="92"/>
      <c r="L6" s="92">
        <f t="shared" si="0"/>
        <v>4185120.3824706981</v>
      </c>
      <c r="M6" s="92">
        <f t="shared" si="1"/>
        <v>141624.1695824691</v>
      </c>
      <c r="N6" s="92">
        <f t="shared" si="2"/>
        <v>11077.82797822507</v>
      </c>
      <c r="O6" s="93">
        <f t="shared" si="3"/>
        <v>851762.1782405955</v>
      </c>
      <c r="P6" s="92"/>
      <c r="Q6" s="92"/>
      <c r="R6" s="92"/>
      <c r="S6" s="92"/>
      <c r="T6" s="88">
        <f t="shared" si="4"/>
        <v>722511665</v>
      </c>
      <c r="U6" s="94">
        <f t="shared" si="5"/>
        <v>5189584.5582719883</v>
      </c>
      <c r="V6" s="89">
        <f>D6/$T$6*100</f>
        <v>80.644612983514946</v>
      </c>
      <c r="W6" s="95">
        <f>E6/$T$6*100</f>
        <v>2.7290078423854931</v>
      </c>
      <c r="X6" s="95">
        <f>F6/$T$6*100</f>
        <v>0.21346271274388351</v>
      </c>
      <c r="Y6" s="96">
        <f>G6/$T$6*100</f>
        <v>16.412916461355678</v>
      </c>
      <c r="AC6" s="97"/>
    </row>
    <row r="7" spans="1:29" ht="16" x14ac:dyDescent="0.2">
      <c r="A7" s="52" t="s">
        <v>114</v>
      </c>
      <c r="B7" s="8" t="s">
        <v>4</v>
      </c>
      <c r="C7" s="13">
        <v>151.90975415986941</v>
      </c>
      <c r="D7" s="29">
        <v>355105920</v>
      </c>
      <c r="E7" s="30">
        <v>12136969</v>
      </c>
      <c r="F7" s="30">
        <v>2870643</v>
      </c>
      <c r="G7" s="30">
        <v>206430923</v>
      </c>
      <c r="H7" s="30"/>
      <c r="I7" s="30"/>
      <c r="J7" s="30"/>
      <c r="K7" s="28"/>
      <c r="L7" s="28">
        <f t="shared" si="0"/>
        <v>2337611.0504812449</v>
      </c>
      <c r="M7" s="28">
        <f t="shared" si="1"/>
        <v>79895.916276890872</v>
      </c>
      <c r="N7" s="28">
        <f t="shared" si="2"/>
        <v>18897.028804213212</v>
      </c>
      <c r="O7" s="42">
        <f t="shared" si="3"/>
        <v>1358904.990279641</v>
      </c>
      <c r="P7" s="28"/>
      <c r="Q7" s="28"/>
      <c r="R7" s="28"/>
      <c r="S7" s="28"/>
      <c r="T7" s="8">
        <f t="shared" si="4"/>
        <v>576544455</v>
      </c>
      <c r="U7" s="43">
        <f t="shared" si="5"/>
        <v>3795308.98584199</v>
      </c>
      <c r="V7" s="13">
        <f>D7/$T$7*100</f>
        <v>61.592114349621141</v>
      </c>
      <c r="W7" s="4">
        <f>E7/$T$7*100</f>
        <v>2.1051228391399586</v>
      </c>
      <c r="X7" s="4">
        <f>F7/$T$7*100</f>
        <v>0.49790488402147587</v>
      </c>
      <c r="Y7" s="48">
        <f>G7/$T$7*100</f>
        <v>35.804857927217427</v>
      </c>
      <c r="AC7" s="14"/>
    </row>
    <row r="8" spans="1:29" s="106" customFormat="1" ht="17" thickBot="1" x14ac:dyDescent="0.25">
      <c r="A8" s="52" t="s">
        <v>116</v>
      </c>
      <c r="B8" s="99" t="s">
        <v>5</v>
      </c>
      <c r="C8" s="100">
        <v>108.99908875208385</v>
      </c>
      <c r="D8" s="101">
        <v>363488118</v>
      </c>
      <c r="E8" s="102">
        <v>12568557</v>
      </c>
      <c r="F8" s="102">
        <v>3233191</v>
      </c>
      <c r="G8" s="102">
        <v>233387709</v>
      </c>
      <c r="H8" s="102"/>
      <c r="I8" s="102"/>
      <c r="J8" s="102"/>
      <c r="K8" s="103"/>
      <c r="L8" s="103">
        <f t="shared" si="0"/>
        <v>3334781.2551602712</v>
      </c>
      <c r="M8" s="103">
        <f t="shared" si="1"/>
        <v>115308.82637548393</v>
      </c>
      <c r="N8" s="103">
        <f t="shared" si="2"/>
        <v>29662.550733371958</v>
      </c>
      <c r="O8" s="104">
        <f t="shared" si="3"/>
        <v>2141189.5427019163</v>
      </c>
      <c r="P8" s="103"/>
      <c r="Q8" s="103"/>
      <c r="R8" s="103"/>
      <c r="S8" s="103"/>
      <c r="T8" s="99">
        <f t="shared" si="4"/>
        <v>612677575</v>
      </c>
      <c r="U8" s="105">
        <f t="shared" si="5"/>
        <v>5620942.1749710441</v>
      </c>
      <c r="V8" s="100">
        <f>D8/$T$8*100</f>
        <v>59.327798638623264</v>
      </c>
      <c r="W8" s="106">
        <f>E8/$T$8*100</f>
        <v>2.0514145633614875</v>
      </c>
      <c r="X8" s="106">
        <f>F8/$T$8*100</f>
        <v>0.52771492411812204</v>
      </c>
      <c r="Y8" s="107">
        <f>G8/$T$8*100</f>
        <v>38.093071873897131</v>
      </c>
      <c r="AC8" s="108"/>
    </row>
    <row r="9" spans="1:29" x14ac:dyDescent="0.2">
      <c r="A9" s="109" t="s">
        <v>118</v>
      </c>
      <c r="B9" s="8" t="s">
        <v>6</v>
      </c>
      <c r="C9" s="13">
        <v>156.73380954252787</v>
      </c>
      <c r="D9" s="29">
        <v>360737377</v>
      </c>
      <c r="E9" s="30">
        <v>12668194</v>
      </c>
      <c r="F9" s="30">
        <v>2059977</v>
      </c>
      <c r="G9" s="30">
        <v>153531400</v>
      </c>
      <c r="H9" s="30"/>
      <c r="I9" s="30"/>
      <c r="J9" s="30"/>
      <c r="K9" s="28"/>
      <c r="L9" s="28">
        <f t="shared" si="0"/>
        <v>2301592.6050219443</v>
      </c>
      <c r="M9" s="28">
        <f t="shared" si="1"/>
        <v>80826.172967885621</v>
      </c>
      <c r="N9" s="28">
        <f t="shared" si="2"/>
        <v>13143.156578740911</v>
      </c>
      <c r="O9" s="42">
        <f t="shared" si="3"/>
        <v>979567.84466685902</v>
      </c>
      <c r="P9" s="28"/>
      <c r="Q9" s="28"/>
      <c r="R9" s="28"/>
      <c r="S9" s="28"/>
      <c r="T9" s="8">
        <f t="shared" si="4"/>
        <v>528996948</v>
      </c>
      <c r="U9" s="43">
        <f t="shared" si="5"/>
        <v>3375129.7792354301</v>
      </c>
      <c r="V9" s="13">
        <f>D9/$T$9*100</f>
        <v>68.192714223372036</v>
      </c>
      <c r="W9" s="4">
        <f>E9/$T$9*100</f>
        <v>2.3947574835535725</v>
      </c>
      <c r="X9" s="4">
        <f>F9/$T$9*100</f>
        <v>0.38941188749542655</v>
      </c>
      <c r="Y9" s="48">
        <f>G9/$T$9*100</f>
        <v>29.023116405578957</v>
      </c>
      <c r="AC9" s="14"/>
    </row>
    <row r="10" spans="1:29" x14ac:dyDescent="0.2">
      <c r="A10" s="110" t="s">
        <v>120</v>
      </c>
      <c r="B10" s="8" t="s">
        <v>7</v>
      </c>
      <c r="C10" s="13">
        <v>145.0979296286427</v>
      </c>
      <c r="D10" s="29">
        <v>415000547</v>
      </c>
      <c r="E10" s="30">
        <v>14543268</v>
      </c>
      <c r="F10" s="30">
        <v>4369068</v>
      </c>
      <c r="G10" s="30">
        <v>275162934</v>
      </c>
      <c r="H10" s="30"/>
      <c r="I10" s="30"/>
      <c r="J10" s="30"/>
      <c r="K10" s="28"/>
      <c r="L10" s="28">
        <f t="shared" si="0"/>
        <v>2860141.0651560244</v>
      </c>
      <c r="M10" s="28">
        <f t="shared" si="1"/>
        <v>100230.70651126039</v>
      </c>
      <c r="N10" s="28">
        <f t="shared" si="2"/>
        <v>30111.167066146303</v>
      </c>
      <c r="O10" s="42">
        <f t="shared" si="3"/>
        <v>1896394.62605869</v>
      </c>
      <c r="P10" s="28"/>
      <c r="Q10" s="28"/>
      <c r="R10" s="28"/>
      <c r="S10" s="28"/>
      <c r="T10" s="8">
        <f t="shared" si="4"/>
        <v>709075817</v>
      </c>
      <c r="U10" s="43">
        <f t="shared" si="5"/>
        <v>4886877.5647921208</v>
      </c>
      <c r="V10" s="13">
        <f>D10/$T$10*100</f>
        <v>58.526963838057391</v>
      </c>
      <c r="W10" s="4">
        <f>E10/$T$10*100</f>
        <v>2.0510173455823835</v>
      </c>
      <c r="X10" s="4">
        <f>F10/$T$10*100</f>
        <v>0.61616372963964727</v>
      </c>
      <c r="Y10" s="48">
        <f>G10/$T$10*100</f>
        <v>38.805855086720584</v>
      </c>
      <c r="AC10" s="14"/>
    </row>
    <row r="11" spans="1:29" ht="17" thickBot="1" x14ac:dyDescent="0.25">
      <c r="A11" s="98" t="s">
        <v>122</v>
      </c>
      <c r="B11" s="8" t="s">
        <v>8</v>
      </c>
      <c r="C11" s="13">
        <v>127.74830304604941</v>
      </c>
      <c r="D11" s="29">
        <v>390370921</v>
      </c>
      <c r="E11" s="30">
        <v>13452808</v>
      </c>
      <c r="F11" s="30">
        <v>5826252</v>
      </c>
      <c r="G11" s="30">
        <v>326188355</v>
      </c>
      <c r="H11" s="30"/>
      <c r="I11" s="30"/>
      <c r="J11" s="30"/>
      <c r="K11" s="28"/>
      <c r="L11" s="28">
        <f t="shared" si="0"/>
        <v>3055781.6557397484</v>
      </c>
      <c r="M11" s="28">
        <f t="shared" si="1"/>
        <v>105307.13660556938</v>
      </c>
      <c r="N11" s="28">
        <f t="shared" si="2"/>
        <v>45607.27509546496</v>
      </c>
      <c r="O11" s="42">
        <f t="shared" si="3"/>
        <v>2553367.4203282287</v>
      </c>
      <c r="P11" s="28"/>
      <c r="Q11" s="28"/>
      <c r="R11" s="28"/>
      <c r="S11" s="28"/>
      <c r="T11" s="8">
        <f t="shared" si="4"/>
        <v>735838336</v>
      </c>
      <c r="U11" s="43">
        <f t="shared" si="5"/>
        <v>5760063.4877690114</v>
      </c>
      <c r="V11" s="13">
        <f>D11/$T$11*100</f>
        <v>53.051180116823929</v>
      </c>
      <c r="W11" s="4">
        <f>E11/$T$11*100</f>
        <v>1.828228748332025</v>
      </c>
      <c r="X11" s="4">
        <f>F11/$T$11*100</f>
        <v>0.79178424321724938</v>
      </c>
      <c r="Y11" s="48">
        <f>G11/$T$11*100</f>
        <v>44.328806891626805</v>
      </c>
      <c r="AC11" s="14"/>
    </row>
    <row r="12" spans="1:29" x14ac:dyDescent="0.2">
      <c r="A12" s="1" t="s">
        <v>124</v>
      </c>
      <c r="B12" s="8" t="s">
        <v>9</v>
      </c>
      <c r="C12" s="13">
        <v>130.41766483297067</v>
      </c>
      <c r="D12" s="29">
        <v>404388156</v>
      </c>
      <c r="E12" s="30">
        <v>13622328</v>
      </c>
      <c r="F12" s="30">
        <v>49860</v>
      </c>
      <c r="G12" s="30">
        <v>7085</v>
      </c>
      <c r="H12" s="30"/>
      <c r="I12" s="30"/>
      <c r="J12" s="30"/>
      <c r="K12" s="28"/>
      <c r="L12" s="28">
        <f t="shared" si="0"/>
        <v>3100716.1224509771</v>
      </c>
      <c r="M12" s="28">
        <f t="shared" si="1"/>
        <v>104451.55583368613</v>
      </c>
      <c r="N12" s="28">
        <f t="shared" si="2"/>
        <v>382.31017296511948</v>
      </c>
      <c r="O12" s="42">
        <f t="shared" si="3"/>
        <v>54.325462805011462</v>
      </c>
      <c r="P12" s="28"/>
      <c r="Q12" s="28"/>
      <c r="R12" s="28"/>
      <c r="S12" s="28"/>
      <c r="T12" s="8">
        <f t="shared" si="4"/>
        <v>418067429</v>
      </c>
      <c r="U12" s="43">
        <f t="shared" si="5"/>
        <v>3205604.3139204336</v>
      </c>
      <c r="V12" s="13">
        <f>D12/$T$12*100</f>
        <v>96.727974472271072</v>
      </c>
      <c r="W12" s="4">
        <f>E12/$T$12*100</f>
        <v>3.2584045192384501</v>
      </c>
      <c r="X12" s="4">
        <f>F12/$T$12*100</f>
        <v>1.1926305792169235E-2</v>
      </c>
      <c r="Y12" s="48">
        <f>G12/$T$12*100</f>
        <v>1.6947026983056362E-3</v>
      </c>
      <c r="AC12" s="14"/>
    </row>
    <row r="13" spans="1:29" x14ac:dyDescent="0.2">
      <c r="A13" s="1" t="s">
        <v>126</v>
      </c>
      <c r="B13" s="8" t="s">
        <v>10</v>
      </c>
      <c r="C13" s="13">
        <v>125.39322005484902</v>
      </c>
      <c r="D13" s="29">
        <v>478621988</v>
      </c>
      <c r="E13" s="30">
        <v>15738436</v>
      </c>
      <c r="F13" s="30">
        <v>47288</v>
      </c>
      <c r="G13" s="30">
        <v>31950</v>
      </c>
      <c r="H13" s="30"/>
      <c r="I13" s="30"/>
      <c r="J13" s="30"/>
      <c r="K13" s="28"/>
      <c r="L13" s="28">
        <f t="shared" si="0"/>
        <v>3816968.6350716809</v>
      </c>
      <c r="M13" s="28">
        <f t="shared" si="1"/>
        <v>125512.65525453252</v>
      </c>
      <c r="N13" s="28">
        <f t="shared" si="2"/>
        <v>377.1176781273777</v>
      </c>
      <c r="O13" s="42">
        <f t="shared" si="3"/>
        <v>254.79846506872184</v>
      </c>
      <c r="P13" s="28"/>
      <c r="Q13" s="28"/>
      <c r="R13" s="28"/>
      <c r="S13" s="28"/>
      <c r="T13" s="8">
        <f t="shared" si="4"/>
        <v>494439662</v>
      </c>
      <c r="U13" s="43">
        <f t="shared" si="5"/>
        <v>3943113.2064694096</v>
      </c>
      <c r="V13" s="13">
        <f>D13/$T$13*100</f>
        <v>96.800888922215961</v>
      </c>
      <c r="W13" s="4">
        <f>E13/$T$13*100</f>
        <v>3.1830852598552255</v>
      </c>
      <c r="X13" s="4">
        <f>F13/$T$13*100</f>
        <v>9.5639576745766806E-3</v>
      </c>
      <c r="Y13" s="48">
        <f>G13/$T$13*100</f>
        <v>6.4618602542447327E-3</v>
      </c>
      <c r="AC13" s="14"/>
    </row>
    <row r="14" spans="1:29" ht="16" thickBot="1" x14ac:dyDescent="0.25">
      <c r="A14" s="1" t="s">
        <v>128</v>
      </c>
      <c r="B14" s="8" t="s">
        <v>11</v>
      </c>
      <c r="C14" s="13">
        <v>122.16499836554055</v>
      </c>
      <c r="D14" s="29">
        <v>345690079</v>
      </c>
      <c r="E14" s="30">
        <v>11240570</v>
      </c>
      <c r="F14" s="30">
        <v>56313</v>
      </c>
      <c r="G14" s="30">
        <v>21831</v>
      </c>
      <c r="H14" s="30"/>
      <c r="I14" s="30"/>
      <c r="J14" s="30"/>
      <c r="K14" s="28"/>
      <c r="L14" s="28">
        <f t="shared" si="0"/>
        <v>2829698.2247372568</v>
      </c>
      <c r="M14" s="28">
        <f t="shared" si="1"/>
        <v>92011.379285301577</v>
      </c>
      <c r="N14" s="28">
        <f t="shared" si="2"/>
        <v>460.95854584715795</v>
      </c>
      <c r="O14" s="42">
        <f t="shared" si="3"/>
        <v>178.70093964784871</v>
      </c>
      <c r="P14" s="28"/>
      <c r="Q14" s="28"/>
      <c r="R14" s="28"/>
      <c r="S14" s="28"/>
      <c r="T14" s="8">
        <f t="shared" si="4"/>
        <v>357008793</v>
      </c>
      <c r="U14" s="43">
        <f t="shared" si="5"/>
        <v>2922349.2635080535</v>
      </c>
      <c r="V14" s="13">
        <f>D14/$T$14*100</f>
        <v>96.829569965241717</v>
      </c>
      <c r="W14" s="4">
        <f>E14/$T$14*100</f>
        <v>3.1485414982481958</v>
      </c>
      <c r="X14" s="4">
        <f>F14/$T$14*100</f>
        <v>1.5773561073046175E-2</v>
      </c>
      <c r="Y14" s="48">
        <f>G14/$T$14*100</f>
        <v>6.1149754370335638E-3</v>
      </c>
      <c r="AC14" s="14"/>
    </row>
    <row r="15" spans="1:29" s="95" customFormat="1" x14ac:dyDescent="0.2">
      <c r="A15" s="1" t="s">
        <v>130</v>
      </c>
      <c r="B15" s="88" t="s">
        <v>12</v>
      </c>
      <c r="C15" s="89">
        <v>146.87068065753425</v>
      </c>
      <c r="D15" s="90">
        <v>253276729</v>
      </c>
      <c r="E15" s="91">
        <v>8392843</v>
      </c>
      <c r="F15" s="91">
        <v>754804</v>
      </c>
      <c r="G15" s="91">
        <v>53803686</v>
      </c>
      <c r="H15" s="91"/>
      <c r="I15" s="91"/>
      <c r="J15" s="91"/>
      <c r="K15" s="92"/>
      <c r="L15" s="92">
        <f t="shared" si="0"/>
        <v>1724488.0180720214</v>
      </c>
      <c r="M15" s="92">
        <f t="shared" si="1"/>
        <v>57144.441371317764</v>
      </c>
      <c r="N15" s="92">
        <f t="shared" si="2"/>
        <v>5139.242200150311</v>
      </c>
      <c r="O15" s="93">
        <f t="shared" si="3"/>
        <v>366333.74175923347</v>
      </c>
      <c r="P15" s="92"/>
      <c r="Q15" s="92"/>
      <c r="R15" s="92"/>
      <c r="S15" s="92"/>
      <c r="T15" s="88">
        <f t="shared" si="4"/>
        <v>316228062</v>
      </c>
      <c r="U15" s="94">
        <f t="shared" si="5"/>
        <v>2153105.4434027229</v>
      </c>
      <c r="V15" s="89">
        <f>D15/$T$15*100</f>
        <v>80.093059230145116</v>
      </c>
      <c r="W15" s="95">
        <f>E15/$T$15*100</f>
        <v>2.6540475082821713</v>
      </c>
      <c r="X15" s="95">
        <f>F15/$T$15*100</f>
        <v>0.23868975929150779</v>
      </c>
      <c r="Y15" s="96">
        <f>G15/$T$15*100</f>
        <v>17.014203502281212</v>
      </c>
      <c r="AC15" s="97"/>
    </row>
    <row r="16" spans="1:29" x14ac:dyDescent="0.2">
      <c r="A16" s="1" t="s">
        <v>132</v>
      </c>
      <c r="B16" s="8" t="s">
        <v>13</v>
      </c>
      <c r="C16" s="13">
        <v>130.89217923422584</v>
      </c>
      <c r="D16" s="29">
        <v>488254931</v>
      </c>
      <c r="E16" s="30">
        <v>16479750</v>
      </c>
      <c r="F16" s="30">
        <v>1297176</v>
      </c>
      <c r="G16" s="30">
        <v>83858601</v>
      </c>
      <c r="H16" s="30"/>
      <c r="I16" s="30"/>
      <c r="J16" s="30"/>
      <c r="K16" s="28"/>
      <c r="L16" s="28">
        <f t="shared" si="0"/>
        <v>3730207.059401839</v>
      </c>
      <c r="M16" s="28">
        <f t="shared" si="1"/>
        <v>125903.2441541844</v>
      </c>
      <c r="N16" s="28">
        <f t="shared" si="2"/>
        <v>9910.263604663196</v>
      </c>
      <c r="O16" s="42">
        <f t="shared" si="3"/>
        <v>640669.30118062056</v>
      </c>
      <c r="P16" s="28"/>
      <c r="Q16" s="28"/>
      <c r="R16" s="28"/>
      <c r="S16" s="28"/>
      <c r="T16" s="8">
        <f t="shared" si="4"/>
        <v>589890458</v>
      </c>
      <c r="U16" s="43">
        <f t="shared" si="5"/>
        <v>4506689.8683413072</v>
      </c>
      <c r="V16" s="13">
        <f>D16/$T$16*100</f>
        <v>82.770440575595813</v>
      </c>
      <c r="W16" s="4">
        <f>E16/$T$16*100</f>
        <v>2.7936966561340784</v>
      </c>
      <c r="X16" s="4">
        <f>F16/$T$16*100</f>
        <v>0.21990116680273541</v>
      </c>
      <c r="Y16" s="48">
        <f>G16/$T$16*100</f>
        <v>14.21596160146737</v>
      </c>
      <c r="AC16" s="14"/>
    </row>
    <row r="17" spans="1:29" s="106" customFormat="1" ht="16" thickBot="1" x14ac:dyDescent="0.25">
      <c r="A17" s="1" t="s">
        <v>134</v>
      </c>
      <c r="B17" s="99" t="s">
        <v>14</v>
      </c>
      <c r="C17" s="100">
        <v>68.818694063301194</v>
      </c>
      <c r="D17" s="101">
        <v>413763401</v>
      </c>
      <c r="E17" s="102">
        <v>14616161</v>
      </c>
      <c r="F17" s="102">
        <v>1773751</v>
      </c>
      <c r="G17" s="102">
        <v>120706394</v>
      </c>
      <c r="H17" s="102"/>
      <c r="I17" s="102"/>
      <c r="J17" s="102"/>
      <c r="K17" s="103"/>
      <c r="L17" s="103">
        <f t="shared" si="0"/>
        <v>6012369.2643660139</v>
      </c>
      <c r="M17" s="103">
        <f t="shared" si="1"/>
        <v>212386.49176567752</v>
      </c>
      <c r="N17" s="103">
        <f t="shared" si="2"/>
        <v>25774.261254775607</v>
      </c>
      <c r="O17" s="104">
        <f t="shared" si="3"/>
        <v>1753976.8175340726</v>
      </c>
      <c r="P17" s="103"/>
      <c r="Q17" s="103"/>
      <c r="R17" s="103"/>
      <c r="S17" s="103"/>
      <c r="T17" s="99">
        <f t="shared" si="4"/>
        <v>550859707</v>
      </c>
      <c r="U17" s="105">
        <f t="shared" si="5"/>
        <v>8004506.8349205395</v>
      </c>
      <c r="V17" s="100">
        <f>D17/$T$17*100</f>
        <v>75.112300961957999</v>
      </c>
      <c r="W17" s="106">
        <f>E17/$T$17*100</f>
        <v>2.6533363784401827</v>
      </c>
      <c r="X17" s="106">
        <f>F17/$T$17*100</f>
        <v>0.32199686734393884</v>
      </c>
      <c r="Y17" s="107">
        <f>G17/$T$17*100</f>
        <v>21.91236579225788</v>
      </c>
      <c r="AC17" s="108"/>
    </row>
    <row r="18" spans="1:29" x14ac:dyDescent="0.2">
      <c r="A18" s="109" t="s">
        <v>136</v>
      </c>
      <c r="B18" s="8" t="s">
        <v>15</v>
      </c>
      <c r="C18" s="13">
        <v>130.65055284958299</v>
      </c>
      <c r="D18" s="29">
        <v>808572991</v>
      </c>
      <c r="E18" s="30">
        <v>27087568</v>
      </c>
      <c r="F18" s="30">
        <v>1517148</v>
      </c>
      <c r="G18" s="30">
        <v>103705129</v>
      </c>
      <c r="H18" s="30"/>
      <c r="I18" s="30"/>
      <c r="J18" s="30"/>
      <c r="K18" s="28"/>
      <c r="L18" s="28">
        <f t="shared" si="0"/>
        <v>6188821.8102751086</v>
      </c>
      <c r="M18" s="28">
        <f t="shared" si="1"/>
        <v>207328.38406880462</v>
      </c>
      <c r="N18" s="28">
        <f t="shared" si="2"/>
        <v>11612.258554670498</v>
      </c>
      <c r="O18" s="42">
        <f t="shared" si="3"/>
        <v>793759.58798578486</v>
      </c>
      <c r="P18" s="28"/>
      <c r="Q18" s="28"/>
      <c r="R18" s="28"/>
      <c r="S18" s="28"/>
      <c r="T18" s="8">
        <f t="shared" si="4"/>
        <v>940882836</v>
      </c>
      <c r="U18" s="43">
        <f t="shared" si="5"/>
        <v>7201522.0408843691</v>
      </c>
      <c r="V18" s="13">
        <f>D18/$T$18*100</f>
        <v>85.937691714890633</v>
      </c>
      <c r="W18" s="4">
        <f>E18/$T$18*100</f>
        <v>2.8789522949699125</v>
      </c>
      <c r="X18" s="4">
        <f>F18/$T$18*100</f>
        <v>0.16124728201546235</v>
      </c>
      <c r="Y18" s="48">
        <f>G18/$T$18*100</f>
        <v>11.022108708123994</v>
      </c>
      <c r="AC18" s="14"/>
    </row>
    <row r="19" spans="1:29" x14ac:dyDescent="0.2">
      <c r="A19" s="110" t="s">
        <v>138</v>
      </c>
      <c r="B19" s="8" t="s">
        <v>16</v>
      </c>
      <c r="C19" s="13">
        <v>110.44600086309183</v>
      </c>
      <c r="D19" s="29">
        <v>318874401</v>
      </c>
      <c r="E19" s="30">
        <v>11291555</v>
      </c>
      <c r="F19" s="30">
        <v>1608676</v>
      </c>
      <c r="G19" s="30">
        <v>104700594</v>
      </c>
      <c r="H19" s="30"/>
      <c r="I19" s="30"/>
      <c r="J19" s="30"/>
      <c r="K19" s="28"/>
      <c r="L19" s="28">
        <f t="shared" si="0"/>
        <v>2887152.0789175038</v>
      </c>
      <c r="M19" s="28">
        <f t="shared" si="1"/>
        <v>102235.97877479458</v>
      </c>
      <c r="N19" s="28">
        <f t="shared" si="2"/>
        <v>14565.2716026731</v>
      </c>
      <c r="O19" s="42">
        <f t="shared" si="3"/>
        <v>947979.94659658347</v>
      </c>
      <c r="P19" s="28"/>
      <c r="Q19" s="28"/>
      <c r="R19" s="28"/>
      <c r="S19" s="28"/>
      <c r="T19" s="8">
        <f t="shared" si="4"/>
        <v>436475226</v>
      </c>
      <c r="U19" s="43">
        <f t="shared" si="5"/>
        <v>3951933.2758915545</v>
      </c>
      <c r="V19" s="13">
        <f>D19/$T$19*100</f>
        <v>73.056701046304056</v>
      </c>
      <c r="W19" s="4">
        <f>E19/$T$19*100</f>
        <v>2.5869864604869921</v>
      </c>
      <c r="X19" s="4">
        <f>F19/$T$19*100</f>
        <v>0.36856066602964538</v>
      </c>
      <c r="Y19" s="48">
        <f>G19/$T$19*100</f>
        <v>23.987751827179306</v>
      </c>
      <c r="AC19" s="14"/>
    </row>
    <row r="20" spans="1:29" ht="16" thickBot="1" x14ac:dyDescent="0.25">
      <c r="A20" s="111" t="s">
        <v>140</v>
      </c>
      <c r="B20" s="8" t="s">
        <v>17</v>
      </c>
      <c r="C20" s="13">
        <v>117.52188726819432</v>
      </c>
      <c r="D20" s="29">
        <v>453335082</v>
      </c>
      <c r="E20" s="30">
        <v>15739701</v>
      </c>
      <c r="F20" s="30">
        <v>2234063</v>
      </c>
      <c r="G20" s="30">
        <v>139970251</v>
      </c>
      <c r="H20" s="30"/>
      <c r="I20" s="30"/>
      <c r="J20" s="30"/>
      <c r="K20" s="28"/>
      <c r="L20" s="28">
        <f t="shared" si="0"/>
        <v>3857452.3651535069</v>
      </c>
      <c r="M20" s="28">
        <f t="shared" si="1"/>
        <v>133929.95437590912</v>
      </c>
      <c r="N20" s="28">
        <f t="shared" si="2"/>
        <v>19009.761091580243</v>
      </c>
      <c r="O20" s="42">
        <f t="shared" si="3"/>
        <v>1191014.3229794865</v>
      </c>
      <c r="P20" s="28"/>
      <c r="Q20" s="28"/>
      <c r="R20" s="28"/>
      <c r="S20" s="28"/>
      <c r="T20" s="8">
        <f t="shared" si="4"/>
        <v>611279097</v>
      </c>
      <c r="U20" s="43">
        <f t="shared" si="5"/>
        <v>5201406.4036004823</v>
      </c>
      <c r="V20" s="13">
        <f>D20/$T$20*100</f>
        <v>74.161718309173594</v>
      </c>
      <c r="W20" s="4">
        <f>E20/$T$20*100</f>
        <v>2.574879637999465</v>
      </c>
      <c r="X20" s="4">
        <f>F20/$T$20*100</f>
        <v>0.36547348191099688</v>
      </c>
      <c r="Y20" s="48">
        <f>G20/$T$20*100</f>
        <v>22.897928570915944</v>
      </c>
      <c r="AC20" s="14"/>
    </row>
    <row r="21" spans="1:29" x14ac:dyDescent="0.2">
      <c r="A21" s="51" t="s">
        <v>70</v>
      </c>
      <c r="B21" s="8" t="s">
        <v>18</v>
      </c>
      <c r="C21" s="13">
        <v>97.198118384657477</v>
      </c>
      <c r="D21" s="29">
        <v>656231925</v>
      </c>
      <c r="E21" s="30">
        <v>22704689</v>
      </c>
      <c r="F21" s="30">
        <v>116415</v>
      </c>
      <c r="G21" s="30"/>
      <c r="H21" s="30"/>
      <c r="I21" s="30"/>
      <c r="J21" s="30"/>
      <c r="K21" s="28"/>
      <c r="L21" s="28">
        <f t="shared" si="0"/>
        <v>6751487.9496225398</v>
      </c>
      <c r="M21" s="28">
        <f t="shared" si="1"/>
        <v>233591.85730475918</v>
      </c>
      <c r="N21" s="28">
        <f t="shared" si="2"/>
        <v>1197.7083706424494</v>
      </c>
      <c r="O21" s="42">
        <f t="shared" si="3"/>
        <v>0</v>
      </c>
      <c r="P21" s="28"/>
      <c r="Q21" s="28"/>
      <c r="R21" s="28"/>
      <c r="S21" s="28"/>
      <c r="T21" s="8">
        <f t="shared" si="4"/>
        <v>679053029</v>
      </c>
      <c r="U21" s="43">
        <f t="shared" si="5"/>
        <v>6986277.5152979419</v>
      </c>
      <c r="V21" s="13">
        <f>D21/$T$21*100</f>
        <v>96.639275133842304</v>
      </c>
      <c r="W21" s="4">
        <f>E21/$T$21*100</f>
        <v>3.3435811387861434</v>
      </c>
      <c r="X21" s="4">
        <f>F21/$T$21*100</f>
        <v>1.7143727371548179E-2</v>
      </c>
      <c r="Y21" s="48">
        <f>G21/$T$21*100</f>
        <v>0</v>
      </c>
      <c r="AC21" s="14"/>
    </row>
    <row r="22" spans="1:29" x14ac:dyDescent="0.2">
      <c r="A22" s="1" t="s">
        <v>72</v>
      </c>
      <c r="B22" s="8" t="s">
        <v>19</v>
      </c>
      <c r="C22" s="13">
        <v>127.31000379392765</v>
      </c>
      <c r="D22" s="29">
        <v>591396609</v>
      </c>
      <c r="E22" s="30">
        <v>20112334</v>
      </c>
      <c r="F22" s="30">
        <v>122118</v>
      </c>
      <c r="G22" s="30">
        <v>24729</v>
      </c>
      <c r="H22" s="30"/>
      <c r="I22" s="30"/>
      <c r="J22" s="30"/>
      <c r="K22" s="28"/>
      <c r="L22" s="28">
        <f t="shared" si="0"/>
        <v>4645327.0864501223</v>
      </c>
      <c r="M22" s="28">
        <f t="shared" si="1"/>
        <v>157979.21137882571</v>
      </c>
      <c r="N22" s="28">
        <f t="shared" si="2"/>
        <v>959.21762910060261</v>
      </c>
      <c r="O22" s="42">
        <f t="shared" si="3"/>
        <v>194.24239465131103</v>
      </c>
      <c r="P22" s="28"/>
      <c r="Q22" s="28"/>
      <c r="R22" s="28"/>
      <c r="S22" s="28"/>
      <c r="T22" s="8">
        <f t="shared" si="4"/>
        <v>611655790</v>
      </c>
      <c r="U22" s="43">
        <f t="shared" si="5"/>
        <v>4804459.7578526996</v>
      </c>
      <c r="V22" s="13">
        <f>D22/$T$22*100</f>
        <v>96.687813418720353</v>
      </c>
      <c r="W22" s="4">
        <f>E22/$T$22*100</f>
        <v>3.2881784704433188</v>
      </c>
      <c r="X22" s="4">
        <f>F22/$T$22*100</f>
        <v>1.9965150660962432E-2</v>
      </c>
      <c r="Y22" s="48">
        <f>G22/$T$22*100</f>
        <v>4.0429601753626818E-3</v>
      </c>
      <c r="AC22" s="14"/>
    </row>
    <row r="23" spans="1:29" ht="16" x14ac:dyDescent="0.2">
      <c r="A23" s="52" t="s">
        <v>74</v>
      </c>
      <c r="B23" s="8" t="s">
        <v>20</v>
      </c>
      <c r="C23" s="13">
        <v>143.4385517594913</v>
      </c>
      <c r="D23" s="29">
        <v>717235523</v>
      </c>
      <c r="E23" s="30">
        <v>23709212</v>
      </c>
      <c r="F23" s="30">
        <v>110621</v>
      </c>
      <c r="G23" s="30">
        <v>10357</v>
      </c>
      <c r="H23" s="30"/>
      <c r="I23" s="30"/>
      <c r="J23" s="30"/>
      <c r="K23" s="28"/>
      <c r="L23" s="28">
        <f t="shared" si="0"/>
        <v>5000298.1360451486</v>
      </c>
      <c r="M23" s="28">
        <f t="shared" si="1"/>
        <v>165291.76925708304</v>
      </c>
      <c r="N23" s="28">
        <f t="shared" si="2"/>
        <v>771.2082884487171</v>
      </c>
      <c r="O23" s="42">
        <f t="shared" si="3"/>
        <v>72.205135041839824</v>
      </c>
      <c r="P23" s="28"/>
      <c r="Q23" s="28"/>
      <c r="R23" s="28"/>
      <c r="S23" s="28"/>
      <c r="T23" s="8">
        <f t="shared" si="4"/>
        <v>741065713</v>
      </c>
      <c r="U23" s="43">
        <f t="shared" si="5"/>
        <v>5166433.3187257219</v>
      </c>
      <c r="V23" s="13">
        <f>D23/$T$23*100</f>
        <v>96.784335102547104</v>
      </c>
      <c r="W23" s="4">
        <f>E23/$T$23*100</f>
        <v>3.1993400293773946</v>
      </c>
      <c r="X23" s="4">
        <f>F23/$T$23*100</f>
        <v>1.4927286212201265E-2</v>
      </c>
      <c r="Y23" s="48">
        <f>G23/$T$23*100</f>
        <v>1.3975818632969191E-3</v>
      </c>
      <c r="AC23" s="14"/>
    </row>
    <row r="24" spans="1:29" ht="16" x14ac:dyDescent="0.2">
      <c r="A24" s="52" t="s">
        <v>76</v>
      </c>
      <c r="B24" s="8" t="s">
        <v>21</v>
      </c>
      <c r="C24" s="13">
        <v>110.74207412094421</v>
      </c>
      <c r="D24" s="29">
        <v>468394698</v>
      </c>
      <c r="E24" s="30">
        <v>15500138</v>
      </c>
      <c r="F24" s="30">
        <v>2885144</v>
      </c>
      <c r="G24" s="30">
        <v>242954700</v>
      </c>
      <c r="H24" s="30"/>
      <c r="I24" s="30"/>
      <c r="J24" s="30"/>
      <c r="K24" s="28"/>
      <c r="L24" s="28">
        <f t="shared" si="0"/>
        <v>4229600.1923212521</v>
      </c>
      <c r="M24" s="28">
        <f t="shared" si="1"/>
        <v>139966.11606779107</v>
      </c>
      <c r="N24" s="28">
        <f t="shared" si="2"/>
        <v>26052.826108792775</v>
      </c>
      <c r="O24" s="42">
        <f t="shared" si="3"/>
        <v>2193878.9022017326</v>
      </c>
      <c r="P24" s="28"/>
      <c r="Q24" s="28"/>
      <c r="R24" s="28"/>
      <c r="S24" s="28"/>
      <c r="T24" s="8">
        <f t="shared" si="4"/>
        <v>729734680</v>
      </c>
      <c r="U24" s="43">
        <f t="shared" si="5"/>
        <v>6589498.0366995689</v>
      </c>
      <c r="V24" s="13">
        <f>D24/$T$24*100</f>
        <v>64.186986152282088</v>
      </c>
      <c r="W24" s="4">
        <f>E24/$T$24*100</f>
        <v>2.1240785760654819</v>
      </c>
      <c r="X24" s="4">
        <f>F24/$T$24*100</f>
        <v>0.39536890311969275</v>
      </c>
      <c r="Y24" s="48">
        <f>G24/$T$24*100</f>
        <v>33.293566368532737</v>
      </c>
      <c r="AC24" s="14"/>
    </row>
    <row r="25" spans="1:29" ht="16" x14ac:dyDescent="0.2">
      <c r="A25" s="52" t="s">
        <v>78</v>
      </c>
      <c r="B25" s="8" t="s">
        <v>22</v>
      </c>
      <c r="C25" s="13">
        <v>137.29877325454129</v>
      </c>
      <c r="D25" s="29">
        <v>505498669</v>
      </c>
      <c r="E25" s="30">
        <v>16968149</v>
      </c>
      <c r="F25" s="30">
        <v>3730605</v>
      </c>
      <c r="G25" s="30">
        <v>285406993</v>
      </c>
      <c r="H25" s="30"/>
      <c r="I25" s="30"/>
      <c r="J25" s="30"/>
      <c r="K25" s="28"/>
      <c r="L25" s="28">
        <f t="shared" si="0"/>
        <v>3681742.0652611703</v>
      </c>
      <c r="M25" s="28">
        <f t="shared" si="1"/>
        <v>123585.58345268217</v>
      </c>
      <c r="N25" s="28">
        <f t="shared" si="2"/>
        <v>27171.437235522473</v>
      </c>
      <c r="O25" s="42">
        <f t="shared" si="3"/>
        <v>2078729.3741574627</v>
      </c>
      <c r="P25" s="28"/>
      <c r="Q25" s="28"/>
      <c r="R25" s="28"/>
      <c r="S25" s="28"/>
      <c r="T25" s="8">
        <f t="shared" si="4"/>
        <v>811604416</v>
      </c>
      <c r="U25" s="43">
        <f t="shared" si="5"/>
        <v>5911228.4601068376</v>
      </c>
      <c r="V25" s="13">
        <f>D25/$T$25*100</f>
        <v>62.283873650091124</v>
      </c>
      <c r="W25" s="4">
        <f>E25/$T$25*100</f>
        <v>2.0906920496598187</v>
      </c>
      <c r="X25" s="4">
        <f>F25/$T$25*100</f>
        <v>0.45965804602029176</v>
      </c>
      <c r="Y25" s="48">
        <f>G25/$T$25*100</f>
        <v>35.16577625422876</v>
      </c>
      <c r="AC25" s="14"/>
    </row>
    <row r="26" spans="1:29" ht="17" thickBot="1" x14ac:dyDescent="0.25">
      <c r="A26" s="52" t="s">
        <v>80</v>
      </c>
      <c r="B26" s="8" t="s">
        <v>23</v>
      </c>
      <c r="C26" s="13">
        <v>136.74822250998346</v>
      </c>
      <c r="D26" s="29">
        <v>564192755</v>
      </c>
      <c r="E26" s="30">
        <v>19521854</v>
      </c>
      <c r="F26" s="30">
        <v>3530697</v>
      </c>
      <c r="G26" s="30">
        <v>285212515</v>
      </c>
      <c r="H26" s="30"/>
      <c r="I26" s="30"/>
      <c r="J26" s="30"/>
      <c r="K26" s="28"/>
      <c r="L26" s="28">
        <f t="shared" si="0"/>
        <v>4125777.6126399776</v>
      </c>
      <c r="M26" s="28">
        <f t="shared" si="1"/>
        <v>142757.64351214719</v>
      </c>
      <c r="N26" s="28">
        <f t="shared" si="2"/>
        <v>25818.960825923987</v>
      </c>
      <c r="O26" s="42">
        <f t="shared" si="3"/>
        <v>2085676.214030334</v>
      </c>
      <c r="P26" s="28"/>
      <c r="Q26" s="28"/>
      <c r="R26" s="28"/>
      <c r="S26" s="28"/>
      <c r="T26" s="8">
        <f t="shared" si="4"/>
        <v>872457821</v>
      </c>
      <c r="U26" s="43">
        <f t="shared" si="5"/>
        <v>6380030.4310083827</v>
      </c>
      <c r="V26" s="13">
        <f>D26/$T$26*100</f>
        <v>64.667052253979392</v>
      </c>
      <c r="W26" s="4">
        <f>E26/$T$26*100</f>
        <v>2.2375699466622123</v>
      </c>
      <c r="X26" s="4">
        <f>F26/$T$26*100</f>
        <v>0.40468397612083534</v>
      </c>
      <c r="Y26" s="48">
        <f>G26/$T$26*100</f>
        <v>32.690693823237559</v>
      </c>
      <c r="AC26" s="14"/>
    </row>
    <row r="27" spans="1:29" s="95" customFormat="1" x14ac:dyDescent="0.2">
      <c r="A27" s="109" t="s">
        <v>82</v>
      </c>
      <c r="B27" s="88" t="s">
        <v>24</v>
      </c>
      <c r="C27" s="89">
        <v>117.01602075231662</v>
      </c>
      <c r="D27" s="90">
        <v>385537081</v>
      </c>
      <c r="E27" s="91">
        <v>12811438</v>
      </c>
      <c r="F27" s="91">
        <v>4035753</v>
      </c>
      <c r="G27" s="91">
        <v>315507839</v>
      </c>
      <c r="H27" s="91"/>
      <c r="I27" s="91"/>
      <c r="J27" s="91"/>
      <c r="K27" s="92"/>
      <c r="L27" s="92">
        <f t="shared" si="0"/>
        <v>3294737.5797033105</v>
      </c>
      <c r="M27" s="92">
        <f t="shared" si="1"/>
        <v>109484.47842981677</v>
      </c>
      <c r="N27" s="92">
        <f t="shared" si="2"/>
        <v>34488.892837522872</v>
      </c>
      <c r="O27" s="93">
        <f t="shared" si="3"/>
        <v>2696278.996427536</v>
      </c>
      <c r="P27" s="92"/>
      <c r="Q27" s="92"/>
      <c r="R27" s="92"/>
      <c r="S27" s="92"/>
      <c r="T27" s="88">
        <f t="shared" si="4"/>
        <v>717892111</v>
      </c>
      <c r="U27" s="94">
        <f t="shared" si="5"/>
        <v>6134989.9473981857</v>
      </c>
      <c r="V27" s="89">
        <f>D27/$T$27*100</f>
        <v>53.704042027005919</v>
      </c>
      <c r="W27" s="95">
        <f>E27/$T$27*100</f>
        <v>1.7845909996355984</v>
      </c>
      <c r="X27" s="95">
        <f>F27/$T$27*100</f>
        <v>0.56216706356869273</v>
      </c>
      <c r="Y27" s="96">
        <f>G27/$T$27*100</f>
        <v>43.94919990978979</v>
      </c>
      <c r="AC27" s="97"/>
    </row>
    <row r="28" spans="1:29" x14ac:dyDescent="0.2">
      <c r="A28" s="110" t="s">
        <v>84</v>
      </c>
      <c r="B28" s="8" t="s">
        <v>25</v>
      </c>
      <c r="C28" s="13">
        <v>124.6589491999994</v>
      </c>
      <c r="D28" s="29">
        <v>413870039</v>
      </c>
      <c r="E28" s="30">
        <v>13938487</v>
      </c>
      <c r="F28" s="30">
        <v>4563500</v>
      </c>
      <c r="G28" s="30">
        <v>344302511</v>
      </c>
      <c r="H28" s="30"/>
      <c r="I28" s="30"/>
      <c r="J28" s="30"/>
      <c r="K28" s="28"/>
      <c r="L28" s="28">
        <f t="shared" si="0"/>
        <v>3320018.6721933479</v>
      </c>
      <c r="M28" s="28">
        <f t="shared" si="1"/>
        <v>111812.9672153539</v>
      </c>
      <c r="N28" s="28">
        <f t="shared" si="2"/>
        <v>36607.881177294745</v>
      </c>
      <c r="O28" s="42">
        <f t="shared" si="3"/>
        <v>2761955.8259520582</v>
      </c>
      <c r="P28" s="28"/>
      <c r="Q28" s="28"/>
      <c r="R28" s="28"/>
      <c r="S28" s="28"/>
      <c r="T28" s="8">
        <f t="shared" si="4"/>
        <v>776674537</v>
      </c>
      <c r="U28" s="43">
        <f t="shared" si="5"/>
        <v>6230395.3465380548</v>
      </c>
      <c r="V28" s="13">
        <f>D28/$T$28*100</f>
        <v>53.287447866982149</v>
      </c>
      <c r="W28" s="4">
        <f>E28/$T$28*100</f>
        <v>1.794636792631197</v>
      </c>
      <c r="X28" s="4">
        <f>F28/$T$28*100</f>
        <v>0.58756915317799319</v>
      </c>
      <c r="Y28" s="48">
        <f>G28/$T$28*100</f>
        <v>44.330346187208661</v>
      </c>
      <c r="AC28" s="14"/>
    </row>
    <row r="29" spans="1:29" s="106" customFormat="1" ht="17" thickBot="1" x14ac:dyDescent="0.25">
      <c r="A29" s="98" t="s">
        <v>86</v>
      </c>
      <c r="B29" s="99" t="s">
        <v>26</v>
      </c>
      <c r="C29" s="100">
        <v>131.82322224628973</v>
      </c>
      <c r="D29" s="101">
        <v>480045770</v>
      </c>
      <c r="E29" s="102">
        <v>16723309</v>
      </c>
      <c r="F29" s="102">
        <v>5515684</v>
      </c>
      <c r="G29" s="102">
        <v>408182974</v>
      </c>
      <c r="H29" s="102"/>
      <c r="I29" s="102"/>
      <c r="J29" s="102"/>
      <c r="K29" s="103"/>
      <c r="L29" s="103">
        <f t="shared" si="0"/>
        <v>3641587.2850013818</v>
      </c>
      <c r="M29" s="103">
        <f t="shared" si="1"/>
        <v>126861.63116810544</v>
      </c>
      <c r="N29" s="103">
        <f t="shared" si="2"/>
        <v>41841.520075232751</v>
      </c>
      <c r="O29" s="104">
        <f t="shared" si="3"/>
        <v>3096442.0914956708</v>
      </c>
      <c r="P29" s="103"/>
      <c r="Q29" s="103"/>
      <c r="R29" s="103"/>
      <c r="S29" s="103"/>
      <c r="T29" s="99">
        <f t="shared" si="4"/>
        <v>910467737</v>
      </c>
      <c r="U29" s="105">
        <f t="shared" si="5"/>
        <v>6906732.527740391</v>
      </c>
      <c r="V29" s="100">
        <f>D29/$T$29*100</f>
        <v>52.725181847931857</v>
      </c>
      <c r="W29" s="106">
        <f>E29/$T$29*100</f>
        <v>1.8367821637594171</v>
      </c>
      <c r="X29" s="106">
        <f>F29/$T$29*100</f>
        <v>0.60580773769911189</v>
      </c>
      <c r="Y29" s="107">
        <f>G29/$T$29*100</f>
        <v>44.83222825060961</v>
      </c>
      <c r="AC29" s="108"/>
    </row>
    <row r="30" spans="1:29" x14ac:dyDescent="0.2">
      <c r="A30" s="1" t="s">
        <v>88</v>
      </c>
      <c r="B30" s="8" t="s">
        <v>27</v>
      </c>
      <c r="C30" s="13">
        <v>120.13545845490287</v>
      </c>
      <c r="D30" s="29">
        <v>556195459</v>
      </c>
      <c r="E30" s="30">
        <v>18302763</v>
      </c>
      <c r="F30" s="30">
        <v>96311</v>
      </c>
      <c r="G30" s="30">
        <v>3891</v>
      </c>
      <c r="H30" s="30"/>
      <c r="I30" s="30"/>
      <c r="J30" s="30"/>
      <c r="K30" s="28"/>
      <c r="L30" s="28">
        <f t="shared" si="0"/>
        <v>4629736.0176037271</v>
      </c>
      <c r="M30" s="28">
        <f t="shared" si="1"/>
        <v>152351.04802026952</v>
      </c>
      <c r="N30" s="28">
        <f t="shared" si="2"/>
        <v>801.68670631205657</v>
      </c>
      <c r="O30" s="42">
        <f t="shared" si="3"/>
        <v>32.388439267167946</v>
      </c>
      <c r="P30" s="28"/>
      <c r="Q30" s="28"/>
      <c r="R30" s="28"/>
      <c r="S30" s="28"/>
      <c r="T30" s="8">
        <f t="shared" si="4"/>
        <v>574598424</v>
      </c>
      <c r="U30" s="43">
        <f t="shared" si="5"/>
        <v>4782921.1407695757</v>
      </c>
      <c r="V30" s="13">
        <f>D30/$T$30*100</f>
        <v>96.79724756780746</v>
      </c>
      <c r="W30" s="4">
        <f>E30/$T$30*100</f>
        <v>3.185313818403372</v>
      </c>
      <c r="X30" s="4">
        <f>F30/$T$30*100</f>
        <v>1.676144520716611E-2</v>
      </c>
      <c r="Y30" s="48">
        <f>G30/$T$30*100</f>
        <v>6.7716858200084446E-4</v>
      </c>
      <c r="AC30" s="14"/>
    </row>
    <row r="31" spans="1:29" x14ac:dyDescent="0.2">
      <c r="A31" s="1" t="s">
        <v>90</v>
      </c>
      <c r="B31" s="8" t="s">
        <v>28</v>
      </c>
      <c r="C31" s="13">
        <v>133.6306416614492</v>
      </c>
      <c r="D31" s="29">
        <v>533231769</v>
      </c>
      <c r="E31" s="30">
        <v>17955532</v>
      </c>
      <c r="F31" s="30">
        <v>74386</v>
      </c>
      <c r="G31" s="30">
        <v>3609</v>
      </c>
      <c r="H31" s="30"/>
      <c r="I31" s="30"/>
      <c r="J31" s="30"/>
      <c r="K31" s="28"/>
      <c r="L31" s="28">
        <f t="shared" si="0"/>
        <v>3990340.556404219</v>
      </c>
      <c r="M31" s="28">
        <f t="shared" si="1"/>
        <v>134366.87706319641</v>
      </c>
      <c r="N31" s="28">
        <f t="shared" si="2"/>
        <v>556.65376649507959</v>
      </c>
      <c r="O31" s="42">
        <f t="shared" si="3"/>
        <v>27.007278833123735</v>
      </c>
      <c r="P31" s="28"/>
      <c r="Q31" s="28"/>
      <c r="R31" s="28"/>
      <c r="S31" s="28"/>
      <c r="T31" s="8">
        <f t="shared" si="4"/>
        <v>551265296</v>
      </c>
      <c r="U31" s="43">
        <f t="shared" si="5"/>
        <v>4125291.0945127439</v>
      </c>
      <c r="V31" s="13">
        <f>D31/$T$31*100</f>
        <v>96.728702653540523</v>
      </c>
      <c r="W31" s="4">
        <f>E31/$T$31*100</f>
        <v>3.2571489862115319</v>
      </c>
      <c r="X31" s="4">
        <f>F31/$T$31*100</f>
        <v>1.3493684536238247E-2</v>
      </c>
      <c r="Y31" s="48">
        <f>G31/$T$31*100</f>
        <v>6.5467571171031955E-4</v>
      </c>
      <c r="AC31" s="14"/>
    </row>
    <row r="32" spans="1:29" x14ac:dyDescent="0.2">
      <c r="A32" s="1" t="s">
        <v>92</v>
      </c>
      <c r="B32" s="8" t="s">
        <v>29</v>
      </c>
      <c r="C32" s="13">
        <v>89.665815943679206</v>
      </c>
      <c r="D32" s="29">
        <v>752813644</v>
      </c>
      <c r="E32" s="30">
        <v>25266266</v>
      </c>
      <c r="F32" s="30">
        <v>120672</v>
      </c>
      <c r="G32" s="30"/>
      <c r="H32" s="30"/>
      <c r="I32" s="30"/>
      <c r="J32" s="30"/>
      <c r="K32" s="28"/>
      <c r="L32" s="28">
        <f t="shared" si="0"/>
        <v>8395770.8528839629</v>
      </c>
      <c r="M32" s="28">
        <f t="shared" si="1"/>
        <v>281782.59166090918</v>
      </c>
      <c r="N32" s="28">
        <f t="shared" si="2"/>
        <v>1345.7971550250138</v>
      </c>
      <c r="O32" s="42">
        <f t="shared" si="3"/>
        <v>0</v>
      </c>
      <c r="P32" s="28"/>
      <c r="Q32" s="28"/>
      <c r="R32" s="28"/>
      <c r="S32" s="28"/>
      <c r="T32" s="8">
        <f t="shared" si="4"/>
        <v>778200582</v>
      </c>
      <c r="U32" s="43">
        <f t="shared" si="5"/>
        <v>8678899.2416998968</v>
      </c>
      <c r="V32" s="13">
        <f>D32/$T$32*100</f>
        <v>96.737738497347976</v>
      </c>
      <c r="W32" s="4">
        <f>E32/$T$32*100</f>
        <v>3.2467549606638566</v>
      </c>
      <c r="X32" s="4">
        <f>F32/$T$32*100</f>
        <v>1.5506541988168289E-2</v>
      </c>
      <c r="Y32" s="48">
        <f>G32/$T$32*100</f>
        <v>0</v>
      </c>
      <c r="AC32" s="14"/>
    </row>
    <row r="33" spans="1:29" x14ac:dyDescent="0.2">
      <c r="A33" s="1" t="s">
        <v>94</v>
      </c>
      <c r="B33" s="8" t="s">
        <v>30</v>
      </c>
      <c r="C33" s="13">
        <v>117.18257637794109</v>
      </c>
      <c r="D33" s="29">
        <v>430979387</v>
      </c>
      <c r="E33" s="30">
        <v>14766830</v>
      </c>
      <c r="F33" s="30">
        <v>2443060</v>
      </c>
      <c r="G33" s="30">
        <v>230690447</v>
      </c>
      <c r="H33" s="30"/>
      <c r="I33" s="30"/>
      <c r="J33" s="30"/>
      <c r="K33" s="28"/>
      <c r="L33" s="28">
        <f t="shared" si="0"/>
        <v>3677845.2933991752</v>
      </c>
      <c r="M33" s="28">
        <f t="shared" si="1"/>
        <v>126015.57719957901</v>
      </c>
      <c r="N33" s="28">
        <f t="shared" si="2"/>
        <v>20848.321273638521</v>
      </c>
      <c r="O33" s="42">
        <f t="shared" si="3"/>
        <v>1968641.1933457549</v>
      </c>
      <c r="P33" s="28"/>
      <c r="Q33" s="28"/>
      <c r="R33" s="28"/>
      <c r="S33" s="28"/>
      <c r="T33" s="8">
        <f t="shared" si="4"/>
        <v>678879724</v>
      </c>
      <c r="U33" s="43">
        <f t="shared" si="5"/>
        <v>5793350.3852181472</v>
      </c>
      <c r="V33" s="13">
        <f>D33/$T$33*100</f>
        <v>63.483909117309267</v>
      </c>
      <c r="W33" s="4">
        <f>E33/$T$33*100</f>
        <v>2.1751761730329715</v>
      </c>
      <c r="X33" s="4">
        <f>F33/$T$33*100</f>
        <v>0.35986639659899461</v>
      </c>
      <c r="Y33" s="48">
        <f>G33/$T$33*100</f>
        <v>33.981048313058764</v>
      </c>
      <c r="AC33" s="14"/>
    </row>
    <row r="34" spans="1:29" x14ac:dyDescent="0.2">
      <c r="A34" s="1" t="s">
        <v>96</v>
      </c>
      <c r="B34" s="8" t="s">
        <v>31</v>
      </c>
      <c r="C34" s="13">
        <v>93.866959001563146</v>
      </c>
      <c r="D34" s="29">
        <v>430216187</v>
      </c>
      <c r="E34" s="30">
        <v>14601370</v>
      </c>
      <c r="F34" s="30">
        <v>2352483</v>
      </c>
      <c r="G34" s="30">
        <v>187351871</v>
      </c>
      <c r="H34" s="30"/>
      <c r="I34" s="30"/>
      <c r="J34" s="30"/>
      <c r="K34" s="28"/>
      <c r="L34" s="28">
        <f t="shared" si="0"/>
        <v>4583254.7637218731</v>
      </c>
      <c r="M34" s="28">
        <f t="shared" si="1"/>
        <v>155553.88344643023</v>
      </c>
      <c r="N34" s="28">
        <f t="shared" si="2"/>
        <v>25061.885726593366</v>
      </c>
      <c r="O34" s="42">
        <f t="shared" si="3"/>
        <v>1995929.9096594795</v>
      </c>
      <c r="P34" s="28"/>
      <c r="Q34" s="28"/>
      <c r="R34" s="28"/>
      <c r="S34" s="28"/>
      <c r="T34" s="8">
        <f t="shared" si="4"/>
        <v>634521911</v>
      </c>
      <c r="U34" s="43">
        <f t="shared" si="5"/>
        <v>6759800.4425543761</v>
      </c>
      <c r="V34" s="13">
        <f>D34/$T$34*100</f>
        <v>67.801628208864173</v>
      </c>
      <c r="W34" s="4">
        <f>E34/$T$34*100</f>
        <v>2.3011608814246292</v>
      </c>
      <c r="X34" s="4">
        <f>F34/$T$34*100</f>
        <v>0.37074889916606835</v>
      </c>
      <c r="Y34" s="48">
        <f>G34/$T$34*100</f>
        <v>29.526462010545135</v>
      </c>
      <c r="AC34" s="14"/>
    </row>
    <row r="35" spans="1:29" ht="16" thickBot="1" x14ac:dyDescent="0.25">
      <c r="A35" s="1" t="s">
        <v>98</v>
      </c>
      <c r="B35" s="8" t="s">
        <v>32</v>
      </c>
      <c r="C35" s="13">
        <v>124.3878226689603</v>
      </c>
      <c r="D35" s="29">
        <v>346193274</v>
      </c>
      <c r="E35" s="30">
        <v>11929372</v>
      </c>
      <c r="F35" s="30">
        <v>2293776</v>
      </c>
      <c r="G35" s="30">
        <v>191741474</v>
      </c>
      <c r="H35" s="30"/>
      <c r="I35" s="30"/>
      <c r="J35" s="30"/>
      <c r="K35" s="28"/>
      <c r="L35" s="28">
        <f t="shared" si="0"/>
        <v>2783176.5728494334</v>
      </c>
      <c r="M35" s="28">
        <f t="shared" si="1"/>
        <v>95904.661276596584</v>
      </c>
      <c r="N35" s="28">
        <f t="shared" si="2"/>
        <v>18440.518941348011</v>
      </c>
      <c r="O35" s="42">
        <f t="shared" si="3"/>
        <v>1541481.0701389271</v>
      </c>
      <c r="P35" s="28"/>
      <c r="Q35" s="28"/>
      <c r="R35" s="28"/>
      <c r="S35" s="28"/>
      <c r="T35" s="8">
        <f t="shared" si="4"/>
        <v>552157896</v>
      </c>
      <c r="U35" s="43">
        <f t="shared" si="5"/>
        <v>4439002.8232063055</v>
      </c>
      <c r="V35" s="13">
        <f>D35/$T$35*100</f>
        <v>62.698238403893079</v>
      </c>
      <c r="W35" s="4">
        <f>E35/$T$35*100</f>
        <v>2.1605001189732147</v>
      </c>
      <c r="X35" s="4">
        <f>F35/$T$35*100</f>
        <v>0.41542030216661069</v>
      </c>
      <c r="Y35" s="48">
        <f>G35/$T$35*100</f>
        <v>34.725841174967101</v>
      </c>
      <c r="AC35" s="14"/>
    </row>
    <row r="36" spans="1:29" s="95" customFormat="1" x14ac:dyDescent="0.2">
      <c r="A36" s="109" t="s">
        <v>100</v>
      </c>
      <c r="B36" s="88" t="s">
        <v>33</v>
      </c>
      <c r="C36" s="89">
        <v>116.31998434140461</v>
      </c>
      <c r="D36" s="90">
        <v>303604178</v>
      </c>
      <c r="E36" s="91">
        <v>10001159</v>
      </c>
      <c r="F36" s="91">
        <v>3150740</v>
      </c>
      <c r="G36" s="91">
        <v>259932258</v>
      </c>
      <c r="H36" s="91"/>
      <c r="I36" s="91"/>
      <c r="J36" s="91"/>
      <c r="K36" s="92"/>
      <c r="L36" s="92">
        <f t="shared" si="0"/>
        <v>2610077.5349909565</v>
      </c>
      <c r="M36" s="92">
        <f t="shared" si="1"/>
        <v>85979.714118995485</v>
      </c>
      <c r="N36" s="92">
        <f t="shared" si="2"/>
        <v>27086.833082374138</v>
      </c>
      <c r="O36" s="93">
        <f t="shared" si="3"/>
        <v>2234631.129566581</v>
      </c>
      <c r="P36" s="92"/>
      <c r="Q36" s="92"/>
      <c r="R36" s="92"/>
      <c r="S36" s="92"/>
      <c r="T36" s="88">
        <f t="shared" si="4"/>
        <v>576688335</v>
      </c>
      <c r="U36" s="94">
        <f t="shared" si="5"/>
        <v>4957775.2117589079</v>
      </c>
      <c r="V36" s="89">
        <f>D36/$T$36*100</f>
        <v>52.646145166088722</v>
      </c>
      <c r="W36" s="95">
        <f>E36/$T$36*100</f>
        <v>1.7342398645882096</v>
      </c>
      <c r="X36" s="95">
        <f>F36/$T$36*100</f>
        <v>0.54635056906431101</v>
      </c>
      <c r="Y36" s="96">
        <f>G36/$T$36*100</f>
        <v>45.073264400258765</v>
      </c>
      <c r="AC36" s="97"/>
    </row>
    <row r="37" spans="1:29" x14ac:dyDescent="0.2">
      <c r="A37" s="110" t="s">
        <v>102</v>
      </c>
      <c r="B37" s="8" t="s">
        <v>34</v>
      </c>
      <c r="C37" s="13">
        <v>75.56969360035805</v>
      </c>
      <c r="D37" s="29">
        <v>407708904</v>
      </c>
      <c r="E37" s="30">
        <v>13598258</v>
      </c>
      <c r="F37" s="30">
        <v>3168684</v>
      </c>
      <c r="G37" s="30">
        <v>248488679</v>
      </c>
      <c r="H37" s="30"/>
      <c r="I37" s="30"/>
      <c r="J37" s="30"/>
      <c r="K37" s="28"/>
      <c r="L37" s="28">
        <f t="shared" si="0"/>
        <v>5395137.7142816456</v>
      </c>
      <c r="M37" s="28">
        <f t="shared" si="1"/>
        <v>179943.2729198676</v>
      </c>
      <c r="N37" s="28">
        <f t="shared" si="2"/>
        <v>41930.61859900126</v>
      </c>
      <c r="O37" s="42">
        <f t="shared" si="3"/>
        <v>3288205.4585811188</v>
      </c>
      <c r="P37" s="28"/>
      <c r="Q37" s="28"/>
      <c r="R37" s="28"/>
      <c r="S37" s="28"/>
      <c r="T37" s="8">
        <f t="shared" si="4"/>
        <v>672964525</v>
      </c>
      <c r="U37" s="43">
        <f t="shared" si="5"/>
        <v>8905217.064381633</v>
      </c>
      <c r="V37" s="13">
        <f>D37/$T$37*100</f>
        <v>60.584011319170209</v>
      </c>
      <c r="W37" s="4">
        <f>E37/$T$37*100</f>
        <v>2.0206500483810794</v>
      </c>
      <c r="X37" s="4">
        <f>F37/$T$37*100</f>
        <v>0.4708545372432521</v>
      </c>
      <c r="Y37" s="48">
        <f>G37/$T$37*100</f>
        <v>36.924484095205464</v>
      </c>
      <c r="AC37" s="14"/>
    </row>
    <row r="38" spans="1:29" s="106" customFormat="1" ht="16" thickBot="1" x14ac:dyDescent="0.25">
      <c r="A38" s="111" t="s">
        <v>104</v>
      </c>
      <c r="B38" s="99" t="s">
        <v>35</v>
      </c>
      <c r="C38" s="100">
        <v>99.747880680763927</v>
      </c>
      <c r="D38" s="101">
        <v>465026398</v>
      </c>
      <c r="E38" s="102">
        <v>16514366</v>
      </c>
      <c r="F38" s="102">
        <v>3559299</v>
      </c>
      <c r="G38" s="102">
        <v>307752055</v>
      </c>
      <c r="H38" s="102"/>
      <c r="I38" s="102"/>
      <c r="J38" s="102"/>
      <c r="K38" s="103"/>
      <c r="L38" s="103">
        <f t="shared" si="0"/>
        <v>4662017.827609634</v>
      </c>
      <c r="M38" s="103">
        <f t="shared" si="1"/>
        <v>165561.07144625022</v>
      </c>
      <c r="N38" s="103">
        <f t="shared" si="2"/>
        <v>35682.953619749438</v>
      </c>
      <c r="O38" s="104">
        <f t="shared" si="3"/>
        <v>3085299.1853023805</v>
      </c>
      <c r="P38" s="103"/>
      <c r="Q38" s="103"/>
      <c r="R38" s="103"/>
      <c r="S38" s="103"/>
      <c r="T38" s="99">
        <f t="shared" si="4"/>
        <v>792852118</v>
      </c>
      <c r="U38" s="105">
        <f t="shared" si="5"/>
        <v>7948561.037978014</v>
      </c>
      <c r="V38" s="100">
        <f>D38/$T$38*100</f>
        <v>58.652349844640263</v>
      </c>
      <c r="W38" s="106">
        <f>E38/$T$38*100</f>
        <v>2.0829062097554996</v>
      </c>
      <c r="X38" s="106">
        <f>F38/$T$38*100</f>
        <v>0.44892343971767001</v>
      </c>
      <c r="Y38" s="107">
        <f>G38/$T$38*100</f>
        <v>38.81582050588657</v>
      </c>
      <c r="AC38" s="108"/>
    </row>
  </sheetData>
  <mergeCells count="7">
    <mergeCell ref="V1:AC1"/>
    <mergeCell ref="U1:U2"/>
    <mergeCell ref="A1:B2"/>
    <mergeCell ref="C1:C2"/>
    <mergeCell ref="D1:K1"/>
    <mergeCell ref="L1:S1"/>
    <mergeCell ref="T1: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8"/>
  <sheetViews>
    <sheetView showGridLines="0" workbookViewId="0">
      <pane xSplit="2" topLeftCell="C1" activePane="topRight" state="frozen"/>
      <selection pane="topRight" activeCell="AA36" sqref="AA36:AA38"/>
    </sheetView>
  </sheetViews>
  <sheetFormatPr baseColWidth="10" defaultColWidth="8.6640625" defaultRowHeight="15" x14ac:dyDescent="0.2"/>
  <cols>
    <col min="1" max="1" width="21.33203125" style="50" bestFit="1" customWidth="1"/>
    <col min="2" max="2" width="9.33203125" style="4" bestFit="1" customWidth="1"/>
    <col min="3" max="3" width="6.83203125" style="4" bestFit="1" customWidth="1"/>
    <col min="4" max="9" width="8.33203125" style="4" bestFit="1" customWidth="1"/>
    <col min="10" max="11" width="4.5" style="4" bestFit="1" customWidth="1"/>
    <col min="12" max="17" width="8.33203125" style="4" bestFit="1" customWidth="1"/>
    <col min="18" max="19" width="4.5" style="4" bestFit="1" customWidth="1"/>
    <col min="20" max="20" width="14.1640625" style="4" bestFit="1" customWidth="1"/>
    <col min="21" max="21" width="21.6640625" style="4" bestFit="1" customWidth="1"/>
    <col min="22" max="22" width="5.33203125" style="4" bestFit="1" customWidth="1"/>
    <col min="23" max="23" width="4.5" style="4" bestFit="1" customWidth="1"/>
    <col min="24" max="24" width="5.33203125" style="4" bestFit="1" customWidth="1"/>
    <col min="25" max="26" width="4.5" style="4" bestFit="1" customWidth="1"/>
    <col min="27" max="27" width="5.33203125" style="4" bestFit="1" customWidth="1"/>
    <col min="28" max="29" width="4.5" style="4" bestFit="1" customWidth="1"/>
    <col min="30" max="16384" width="8.6640625" style="4"/>
  </cols>
  <sheetData>
    <row r="1" spans="1:29" x14ac:dyDescent="0.2">
      <c r="A1" s="121" t="s">
        <v>55</v>
      </c>
      <c r="B1" s="122"/>
      <c r="C1" s="125" t="s">
        <v>48</v>
      </c>
      <c r="D1" s="127" t="s">
        <v>46</v>
      </c>
      <c r="E1" s="127"/>
      <c r="F1" s="127"/>
      <c r="G1" s="127"/>
      <c r="H1" s="127"/>
      <c r="I1" s="127"/>
      <c r="J1" s="127"/>
      <c r="K1" s="127"/>
      <c r="L1" s="128" t="s">
        <v>49</v>
      </c>
      <c r="M1" s="129"/>
      <c r="N1" s="129"/>
      <c r="O1" s="129"/>
      <c r="P1" s="129"/>
      <c r="Q1" s="129"/>
      <c r="R1" s="129"/>
      <c r="S1" s="130"/>
      <c r="T1" s="119" t="s">
        <v>45</v>
      </c>
      <c r="U1" s="119" t="s">
        <v>141</v>
      </c>
      <c r="V1" s="117" t="s">
        <v>47</v>
      </c>
      <c r="W1" s="117"/>
      <c r="X1" s="117"/>
      <c r="Y1" s="117"/>
      <c r="Z1" s="117"/>
      <c r="AA1" s="117"/>
      <c r="AB1" s="117"/>
      <c r="AC1" s="118"/>
    </row>
    <row r="2" spans="1:29" x14ac:dyDescent="0.2">
      <c r="A2" s="123"/>
      <c r="B2" s="124"/>
      <c r="C2" s="126"/>
      <c r="D2" s="5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7" t="s">
        <v>43</v>
      </c>
      <c r="L2" s="5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7" t="s">
        <v>43</v>
      </c>
      <c r="T2" s="120"/>
      <c r="U2" s="120"/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  <c r="AB2" s="6" t="s">
        <v>42</v>
      </c>
      <c r="AC2" s="7" t="s">
        <v>43</v>
      </c>
    </row>
    <row r="3" spans="1:29" x14ac:dyDescent="0.2">
      <c r="A3" s="1" t="s">
        <v>106</v>
      </c>
      <c r="B3" s="8" t="s">
        <v>0</v>
      </c>
      <c r="C3" s="13">
        <v>151.61856590318203</v>
      </c>
      <c r="D3" s="25">
        <v>4743118</v>
      </c>
      <c r="E3" s="26">
        <v>130272</v>
      </c>
      <c r="F3" s="26">
        <v>18080</v>
      </c>
      <c r="G3" s="26"/>
      <c r="H3" s="26"/>
      <c r="I3" s="26"/>
      <c r="J3" s="26"/>
      <c r="K3" s="27"/>
      <c r="L3" s="28">
        <f t="shared" ref="L3:L38" si="0">D3/$C3</f>
        <v>31283.226903945117</v>
      </c>
      <c r="M3" s="28">
        <f t="shared" ref="M3:M38" si="1">E3/$C3</f>
        <v>859.20875998251324</v>
      </c>
      <c r="N3" s="28">
        <f t="shared" ref="N3:N38" si="2">F3/$C3</f>
        <v>119.24661001968067</v>
      </c>
      <c r="O3" s="28">
        <f t="shared" ref="O3:O38" si="3">G3/$C3</f>
        <v>0</v>
      </c>
      <c r="P3" s="28">
        <f t="shared" ref="P3:P38" si="4">H3/$C3</f>
        <v>0</v>
      </c>
      <c r="Q3" s="42">
        <f t="shared" ref="Q3:Q38" si="5">I3/$C3</f>
        <v>0</v>
      </c>
      <c r="R3" s="28"/>
      <c r="S3" s="28"/>
      <c r="T3" s="8">
        <f>SUM(D3:K3)</f>
        <v>4891470</v>
      </c>
      <c r="U3" s="43">
        <f>SUM(L3:S3)</f>
        <v>32261.68227394731</v>
      </c>
      <c r="V3" s="10">
        <f t="shared" ref="V3:AA3" si="6">D3/$T$3*100</f>
        <v>96.967128491026216</v>
      </c>
      <c r="W3" s="11">
        <f t="shared" si="6"/>
        <v>2.6632484713184379</v>
      </c>
      <c r="X3" s="11">
        <f t="shared" si="6"/>
        <v>0.36962303765534693</v>
      </c>
      <c r="Y3" s="11">
        <f t="shared" si="6"/>
        <v>0</v>
      </c>
      <c r="Z3" s="11">
        <f t="shared" si="6"/>
        <v>0</v>
      </c>
      <c r="AA3" s="47">
        <f t="shared" si="6"/>
        <v>0</v>
      </c>
      <c r="AB3" s="11"/>
      <c r="AC3" s="12"/>
    </row>
    <row r="4" spans="1:29" x14ac:dyDescent="0.2">
      <c r="A4" s="1" t="s">
        <v>108</v>
      </c>
      <c r="B4" s="8" t="s">
        <v>1</v>
      </c>
      <c r="C4" s="13">
        <v>144.60827361219867</v>
      </c>
      <c r="D4" s="29">
        <v>5890542</v>
      </c>
      <c r="E4" s="30">
        <v>179353</v>
      </c>
      <c r="F4" s="30"/>
      <c r="G4" s="30"/>
      <c r="H4" s="30"/>
      <c r="I4" s="30"/>
      <c r="J4" s="30"/>
      <c r="K4" s="28"/>
      <c r="L4" s="28">
        <f t="shared" si="0"/>
        <v>40734.474265261495</v>
      </c>
      <c r="M4" s="28">
        <f t="shared" si="1"/>
        <v>1240.2679011366772</v>
      </c>
      <c r="N4" s="28">
        <f t="shared" si="2"/>
        <v>0</v>
      </c>
      <c r="O4" s="28">
        <f t="shared" si="3"/>
        <v>0</v>
      </c>
      <c r="P4" s="28">
        <f t="shared" si="4"/>
        <v>0</v>
      </c>
      <c r="Q4" s="42">
        <f t="shared" si="5"/>
        <v>0</v>
      </c>
      <c r="R4" s="28"/>
      <c r="S4" s="28"/>
      <c r="T4" s="8">
        <f t="shared" ref="T4:T38" si="7">SUM(D4:K4)</f>
        <v>6069895</v>
      </c>
      <c r="U4" s="43">
        <f t="shared" ref="U4:U38" si="8">SUM(L4:S4)</f>
        <v>41974.742166398173</v>
      </c>
      <c r="V4" s="13">
        <f t="shared" ref="V4:AA4" si="9">D4/$T$4*100</f>
        <v>97.045204241589019</v>
      </c>
      <c r="W4" s="4">
        <f t="shared" si="9"/>
        <v>2.9547957584109774</v>
      </c>
      <c r="X4" s="4">
        <f t="shared" si="9"/>
        <v>0</v>
      </c>
      <c r="Y4" s="4">
        <f t="shared" si="9"/>
        <v>0</v>
      </c>
      <c r="Z4" s="4">
        <f t="shared" si="9"/>
        <v>0</v>
      </c>
      <c r="AA4" s="48">
        <f t="shared" si="9"/>
        <v>0</v>
      </c>
      <c r="AC4" s="14"/>
    </row>
    <row r="5" spans="1:29" ht="16" x14ac:dyDescent="0.2">
      <c r="A5" s="52" t="s">
        <v>110</v>
      </c>
      <c r="B5" s="8" t="s">
        <v>2</v>
      </c>
      <c r="C5" s="13">
        <v>126.18510720293932</v>
      </c>
      <c r="D5" s="29">
        <v>6015107</v>
      </c>
      <c r="E5" s="30">
        <v>197948</v>
      </c>
      <c r="F5" s="30"/>
      <c r="G5" s="30"/>
      <c r="H5" s="30"/>
      <c r="I5" s="30"/>
      <c r="J5" s="30"/>
      <c r="K5" s="28"/>
      <c r="L5" s="28">
        <f t="shared" si="0"/>
        <v>47668.913815051907</v>
      </c>
      <c r="M5" s="28">
        <f t="shared" si="1"/>
        <v>1568.7112717798527</v>
      </c>
      <c r="N5" s="28">
        <f t="shared" si="2"/>
        <v>0</v>
      </c>
      <c r="O5" s="28">
        <f t="shared" si="3"/>
        <v>0</v>
      </c>
      <c r="P5" s="28">
        <f t="shared" si="4"/>
        <v>0</v>
      </c>
      <c r="Q5" s="42">
        <f t="shared" si="5"/>
        <v>0</v>
      </c>
      <c r="R5" s="28"/>
      <c r="S5" s="28"/>
      <c r="T5" s="8">
        <f t="shared" si="7"/>
        <v>6213055</v>
      </c>
      <c r="U5" s="43">
        <f t="shared" si="8"/>
        <v>49237.625086831758</v>
      </c>
      <c r="V5" s="13">
        <f t="shared" ref="V5:AA5" si="10">D5/$T$5*100</f>
        <v>96.813998910358919</v>
      </c>
      <c r="W5" s="4">
        <f t="shared" si="10"/>
        <v>3.1860010896410862</v>
      </c>
      <c r="X5" s="4">
        <f t="shared" si="10"/>
        <v>0</v>
      </c>
      <c r="Y5" s="4">
        <f t="shared" si="10"/>
        <v>0</v>
      </c>
      <c r="Z5" s="4">
        <f t="shared" si="10"/>
        <v>0</v>
      </c>
      <c r="AA5" s="48">
        <f t="shared" si="10"/>
        <v>0</v>
      </c>
      <c r="AC5" s="14"/>
    </row>
    <row r="6" spans="1:29" ht="16" x14ac:dyDescent="0.2">
      <c r="A6" s="52" t="s">
        <v>112</v>
      </c>
      <c r="B6" s="8" t="s">
        <v>3</v>
      </c>
      <c r="C6" s="13">
        <v>139.22341121667353</v>
      </c>
      <c r="D6" s="29">
        <v>325236</v>
      </c>
      <c r="E6" s="30"/>
      <c r="F6" s="30">
        <v>633216</v>
      </c>
      <c r="G6" s="30">
        <v>109297</v>
      </c>
      <c r="H6" s="30">
        <v>82706</v>
      </c>
      <c r="I6" s="30">
        <v>4496090</v>
      </c>
      <c r="J6" s="30"/>
      <c r="K6" s="28"/>
      <c r="L6" s="28">
        <f t="shared" si="0"/>
        <v>2336.0726271376507</v>
      </c>
      <c r="M6" s="28">
        <f t="shared" si="1"/>
        <v>0</v>
      </c>
      <c r="N6" s="28">
        <f t="shared" si="2"/>
        <v>4548.200582548041</v>
      </c>
      <c r="O6" s="28">
        <f t="shared" si="3"/>
        <v>785.04756523959156</v>
      </c>
      <c r="P6" s="28">
        <f t="shared" si="4"/>
        <v>594.05238872709833</v>
      </c>
      <c r="Q6" s="42">
        <f t="shared" si="5"/>
        <v>32294.065780378925</v>
      </c>
      <c r="R6" s="28"/>
      <c r="S6" s="28"/>
      <c r="T6" s="8">
        <f t="shared" si="7"/>
        <v>5646545</v>
      </c>
      <c r="U6" s="43">
        <f t="shared" si="8"/>
        <v>40557.43894403131</v>
      </c>
      <c r="V6" s="13">
        <f t="shared" ref="V6:AA6" si="11">D6/$T$6*100</f>
        <v>5.7599115919557891</v>
      </c>
      <c r="W6" s="4">
        <f t="shared" si="11"/>
        <v>0</v>
      </c>
      <c r="X6" s="4">
        <f t="shared" si="11"/>
        <v>11.214220377239533</v>
      </c>
      <c r="Y6" s="4">
        <f t="shared" si="11"/>
        <v>1.935643831759067</v>
      </c>
      <c r="Z6" s="4">
        <f t="shared" si="11"/>
        <v>1.464718690810044</v>
      </c>
      <c r="AA6" s="48">
        <f t="shared" si="11"/>
        <v>79.625505508235577</v>
      </c>
      <c r="AC6" s="14"/>
    </row>
    <row r="7" spans="1:29" ht="16" x14ac:dyDescent="0.2">
      <c r="A7" s="52" t="s">
        <v>114</v>
      </c>
      <c r="B7" s="8" t="s">
        <v>4</v>
      </c>
      <c r="C7" s="13">
        <v>151.90975415986941</v>
      </c>
      <c r="D7" s="29">
        <v>434541</v>
      </c>
      <c r="E7" s="30"/>
      <c r="F7" s="30">
        <v>172746</v>
      </c>
      <c r="G7" s="30">
        <v>167449</v>
      </c>
      <c r="H7" s="30">
        <v>106766</v>
      </c>
      <c r="I7" s="30">
        <v>6867459</v>
      </c>
      <c r="J7" s="30"/>
      <c r="K7" s="28"/>
      <c r="L7" s="28">
        <f t="shared" si="0"/>
        <v>2860.5207243156369</v>
      </c>
      <c r="M7" s="28">
        <f t="shared" si="1"/>
        <v>0</v>
      </c>
      <c r="N7" s="28">
        <f t="shared" si="2"/>
        <v>1137.1620009219591</v>
      </c>
      <c r="O7" s="28">
        <f t="shared" si="3"/>
        <v>1102.2926139672186</v>
      </c>
      <c r="P7" s="28">
        <f t="shared" si="4"/>
        <v>702.82517795163938</v>
      </c>
      <c r="Q7" s="42">
        <f t="shared" si="5"/>
        <v>45207.492026961649</v>
      </c>
      <c r="R7" s="28"/>
      <c r="S7" s="28"/>
      <c r="T7" s="8">
        <f t="shared" si="7"/>
        <v>7748961</v>
      </c>
      <c r="U7" s="43">
        <f t="shared" si="8"/>
        <v>51010.2925441181</v>
      </c>
      <c r="V7" s="13">
        <f t="shared" ref="V7:AA7" si="12">D7/$T$7*100</f>
        <v>5.6077324430978557</v>
      </c>
      <c r="W7" s="4">
        <f t="shared" si="12"/>
        <v>0</v>
      </c>
      <c r="X7" s="4">
        <f t="shared" si="12"/>
        <v>2.2292795124404421</v>
      </c>
      <c r="Y7" s="4">
        <f t="shared" si="12"/>
        <v>2.160921961021613</v>
      </c>
      <c r="Z7" s="4">
        <f t="shared" si="12"/>
        <v>1.377810521952556</v>
      </c>
      <c r="AA7" s="48">
        <f t="shared" si="12"/>
        <v>88.62425556148753</v>
      </c>
      <c r="AC7" s="14"/>
    </row>
    <row r="8" spans="1:29" ht="17" thickBot="1" x14ac:dyDescent="0.25">
      <c r="A8" s="52" t="s">
        <v>116</v>
      </c>
      <c r="B8" s="8" t="s">
        <v>5</v>
      </c>
      <c r="C8" s="13">
        <v>108.99908875208385</v>
      </c>
      <c r="D8" s="29">
        <v>381021</v>
      </c>
      <c r="E8" s="30"/>
      <c r="F8" s="30">
        <v>186989</v>
      </c>
      <c r="G8" s="30">
        <v>174133</v>
      </c>
      <c r="H8" s="30">
        <v>103296</v>
      </c>
      <c r="I8" s="30">
        <v>6823738</v>
      </c>
      <c r="J8" s="30"/>
      <c r="K8" s="28"/>
      <c r="L8" s="28">
        <f t="shared" si="0"/>
        <v>3495.634728347356</v>
      </c>
      <c r="M8" s="28">
        <f t="shared" si="1"/>
        <v>0</v>
      </c>
      <c r="N8" s="28">
        <f t="shared" si="2"/>
        <v>1715.5097546301747</v>
      </c>
      <c r="O8" s="28">
        <f t="shared" si="3"/>
        <v>1597.5638144651086</v>
      </c>
      <c r="P8" s="28">
        <f t="shared" si="4"/>
        <v>947.67764742459997</v>
      </c>
      <c r="Q8" s="42">
        <f t="shared" si="5"/>
        <v>62603.624288276842</v>
      </c>
      <c r="R8" s="28"/>
      <c r="S8" s="28"/>
      <c r="T8" s="8">
        <f t="shared" si="7"/>
        <v>7669177</v>
      </c>
      <c r="U8" s="43">
        <f t="shared" si="8"/>
        <v>70360.010233144087</v>
      </c>
      <c r="V8" s="13">
        <f t="shared" ref="V8:AA8" si="13">D8/$T$8*100</f>
        <v>4.9682123648991281</v>
      </c>
      <c r="W8" s="4">
        <f t="shared" si="13"/>
        <v>0</v>
      </c>
      <c r="X8" s="4">
        <f t="shared" si="13"/>
        <v>2.4381886087646696</v>
      </c>
      <c r="Y8" s="4">
        <f t="shared" si="13"/>
        <v>2.2705565408126582</v>
      </c>
      <c r="Z8" s="4">
        <f t="shared" si="13"/>
        <v>1.3468981091452186</v>
      </c>
      <c r="AA8" s="48">
        <f t="shared" si="13"/>
        <v>88.976144376378329</v>
      </c>
      <c r="AC8" s="14"/>
    </row>
    <row r="9" spans="1:29" s="95" customFormat="1" x14ac:dyDescent="0.2">
      <c r="A9" s="109" t="s">
        <v>118</v>
      </c>
      <c r="B9" s="88" t="s">
        <v>6</v>
      </c>
      <c r="C9" s="89">
        <v>156.73380954252787</v>
      </c>
      <c r="D9" s="90">
        <v>95798</v>
      </c>
      <c r="E9" s="91"/>
      <c r="F9" s="91">
        <v>136075</v>
      </c>
      <c r="G9" s="91">
        <v>94911</v>
      </c>
      <c r="H9" s="91">
        <v>83241</v>
      </c>
      <c r="I9" s="91">
        <v>5056327</v>
      </c>
      <c r="J9" s="91"/>
      <c r="K9" s="92"/>
      <c r="L9" s="92">
        <f t="shared" si="0"/>
        <v>611.21464653742339</v>
      </c>
      <c r="M9" s="92">
        <f t="shared" si="1"/>
        <v>0</v>
      </c>
      <c r="N9" s="92">
        <f t="shared" si="2"/>
        <v>868.19174750600098</v>
      </c>
      <c r="O9" s="92">
        <f t="shared" si="3"/>
        <v>605.55536981474961</v>
      </c>
      <c r="P9" s="92">
        <f t="shared" si="4"/>
        <v>531.09791845781388</v>
      </c>
      <c r="Q9" s="93">
        <f t="shared" si="5"/>
        <v>32260.601683569908</v>
      </c>
      <c r="R9" s="92"/>
      <c r="S9" s="92"/>
      <c r="T9" s="88">
        <f t="shared" si="7"/>
        <v>5466352</v>
      </c>
      <c r="U9" s="94">
        <f t="shared" si="8"/>
        <v>34876.661365885899</v>
      </c>
      <c r="V9" s="89">
        <f t="shared" ref="V9:AA9" si="14">D9/$T$9*100</f>
        <v>1.7525033148249509</v>
      </c>
      <c r="W9" s="95">
        <f t="shared" si="14"/>
        <v>0</v>
      </c>
      <c r="X9" s="95">
        <f t="shared" si="14"/>
        <v>2.4893201169628303</v>
      </c>
      <c r="Y9" s="95">
        <f t="shared" si="14"/>
        <v>1.736276771053163</v>
      </c>
      <c r="Z9" s="95">
        <f t="shared" si="14"/>
        <v>1.5227888727253569</v>
      </c>
      <c r="AA9" s="96">
        <f t="shared" si="14"/>
        <v>92.499110924433708</v>
      </c>
      <c r="AC9" s="97"/>
    </row>
    <row r="10" spans="1:29" x14ac:dyDescent="0.2">
      <c r="A10" s="110" t="s">
        <v>120</v>
      </c>
      <c r="B10" s="8" t="s">
        <v>7</v>
      </c>
      <c r="C10" s="13">
        <v>145.0979296286427</v>
      </c>
      <c r="D10" s="29">
        <v>88038</v>
      </c>
      <c r="E10" s="30"/>
      <c r="F10" s="30">
        <v>166988</v>
      </c>
      <c r="G10" s="30">
        <v>69121</v>
      </c>
      <c r="H10" s="30">
        <v>109050</v>
      </c>
      <c r="I10" s="30">
        <v>6588907</v>
      </c>
      <c r="J10" s="30"/>
      <c r="K10" s="28"/>
      <c r="L10" s="28">
        <f t="shared" si="0"/>
        <v>606.74883663275284</v>
      </c>
      <c r="M10" s="28">
        <f t="shared" si="1"/>
        <v>0</v>
      </c>
      <c r="N10" s="28">
        <f t="shared" si="2"/>
        <v>1150.8641124472401</v>
      </c>
      <c r="O10" s="28">
        <f t="shared" si="3"/>
        <v>476.37481924728536</v>
      </c>
      <c r="P10" s="28">
        <f t="shared" si="4"/>
        <v>751.56137843660349</v>
      </c>
      <c r="Q10" s="42">
        <f t="shared" si="5"/>
        <v>45410.069026231875</v>
      </c>
      <c r="R10" s="28"/>
      <c r="S10" s="28"/>
      <c r="T10" s="8">
        <f t="shared" si="7"/>
        <v>7022104</v>
      </c>
      <c r="U10" s="43">
        <f t="shared" si="8"/>
        <v>48395.618172995761</v>
      </c>
      <c r="V10" s="13">
        <f t="shared" ref="V10:AA10" si="15">D10/$T$10*100</f>
        <v>1.253726803248713</v>
      </c>
      <c r="W10" s="4">
        <f t="shared" si="15"/>
        <v>0</v>
      </c>
      <c r="X10" s="4">
        <f t="shared" si="15"/>
        <v>2.378033706137078</v>
      </c>
      <c r="Y10" s="4">
        <f t="shared" si="15"/>
        <v>0.98433460968393516</v>
      </c>
      <c r="Z10" s="4">
        <f t="shared" si="15"/>
        <v>1.5529533598477037</v>
      </c>
      <c r="AA10" s="48">
        <f t="shared" si="15"/>
        <v>93.830951521082568</v>
      </c>
      <c r="AC10" s="14"/>
    </row>
    <row r="11" spans="1:29" s="106" customFormat="1" ht="17" thickBot="1" x14ac:dyDescent="0.25">
      <c r="A11" s="98" t="s">
        <v>122</v>
      </c>
      <c r="B11" s="99" t="s">
        <v>8</v>
      </c>
      <c r="C11" s="100">
        <v>127.74830304604941</v>
      </c>
      <c r="D11" s="101">
        <v>86624</v>
      </c>
      <c r="E11" s="102"/>
      <c r="F11" s="102">
        <v>178273</v>
      </c>
      <c r="G11" s="102">
        <v>116383</v>
      </c>
      <c r="H11" s="102">
        <v>102688</v>
      </c>
      <c r="I11" s="102">
        <v>7300621</v>
      </c>
      <c r="J11" s="102"/>
      <c r="K11" s="103"/>
      <c r="L11" s="103">
        <f t="shared" si="0"/>
        <v>678.08337124270577</v>
      </c>
      <c r="M11" s="103">
        <f t="shared" si="1"/>
        <v>0</v>
      </c>
      <c r="N11" s="103">
        <f t="shared" si="2"/>
        <v>1395.5019029547341</v>
      </c>
      <c r="O11" s="103">
        <f t="shared" si="3"/>
        <v>911.03362804003302</v>
      </c>
      <c r="P11" s="103">
        <f t="shared" si="4"/>
        <v>803.83063846244647</v>
      </c>
      <c r="Q11" s="104">
        <f t="shared" si="5"/>
        <v>57148.477325513639</v>
      </c>
      <c r="R11" s="103"/>
      <c r="S11" s="103"/>
      <c r="T11" s="99">
        <f t="shared" si="7"/>
        <v>7784589</v>
      </c>
      <c r="U11" s="105">
        <f t="shared" si="8"/>
        <v>60936.926866213558</v>
      </c>
      <c r="V11" s="100">
        <f t="shared" ref="V11:AA11" si="16">D11/$T$11*100</f>
        <v>1.1127626647983599</v>
      </c>
      <c r="W11" s="106">
        <f t="shared" si="16"/>
        <v>0</v>
      </c>
      <c r="X11" s="106">
        <f t="shared" si="16"/>
        <v>2.2900759436368445</v>
      </c>
      <c r="Y11" s="106">
        <f t="shared" si="16"/>
        <v>1.4950436047426523</v>
      </c>
      <c r="Z11" s="106">
        <f t="shared" si="16"/>
        <v>1.3191190954332976</v>
      </c>
      <c r="AA11" s="107">
        <f t="shared" si="16"/>
        <v>93.78299869138884</v>
      </c>
      <c r="AC11" s="108"/>
    </row>
    <row r="12" spans="1:29" x14ac:dyDescent="0.2">
      <c r="A12" s="1" t="s">
        <v>124</v>
      </c>
      <c r="B12" s="8" t="s">
        <v>9</v>
      </c>
      <c r="C12" s="13">
        <v>130.41766483297067</v>
      </c>
      <c r="D12" s="29">
        <v>4728451</v>
      </c>
      <c r="E12" s="30">
        <v>148199</v>
      </c>
      <c r="F12" s="30"/>
      <c r="G12" s="30"/>
      <c r="H12" s="30"/>
      <c r="I12" s="30"/>
      <c r="J12" s="30"/>
      <c r="K12" s="28"/>
      <c r="L12" s="28">
        <f t="shared" si="0"/>
        <v>36256.215797575052</v>
      </c>
      <c r="M12" s="28">
        <f t="shared" si="1"/>
        <v>1136.3414625603239</v>
      </c>
      <c r="N12" s="28">
        <f t="shared" si="2"/>
        <v>0</v>
      </c>
      <c r="O12" s="28">
        <f t="shared" si="3"/>
        <v>0</v>
      </c>
      <c r="P12" s="28">
        <f t="shared" si="4"/>
        <v>0</v>
      </c>
      <c r="Q12" s="42">
        <f t="shared" si="5"/>
        <v>0</v>
      </c>
      <c r="R12" s="28"/>
      <c r="S12" s="28"/>
      <c r="T12" s="8">
        <f t="shared" si="7"/>
        <v>4876650</v>
      </c>
      <c r="U12" s="43">
        <f t="shared" si="8"/>
        <v>37392.557260135378</v>
      </c>
      <c r="V12" s="13">
        <f t="shared" ref="V12:AA12" si="17">D12/$T$12*100</f>
        <v>96.961049080823926</v>
      </c>
      <c r="W12" s="4">
        <f t="shared" si="17"/>
        <v>3.0389509191760737</v>
      </c>
      <c r="X12" s="4">
        <f t="shared" si="17"/>
        <v>0</v>
      </c>
      <c r="Y12" s="4">
        <f t="shared" si="17"/>
        <v>0</v>
      </c>
      <c r="Z12" s="4">
        <f t="shared" si="17"/>
        <v>0</v>
      </c>
      <c r="AA12" s="48">
        <f t="shared" si="17"/>
        <v>0</v>
      </c>
      <c r="AC12" s="14"/>
    </row>
    <row r="13" spans="1:29" x14ac:dyDescent="0.2">
      <c r="A13" s="1" t="s">
        <v>126</v>
      </c>
      <c r="B13" s="8" t="s">
        <v>10</v>
      </c>
      <c r="C13" s="13">
        <v>125.39322005484902</v>
      </c>
      <c r="D13" s="29">
        <v>3182781</v>
      </c>
      <c r="E13" s="30">
        <v>126395</v>
      </c>
      <c r="F13" s="30"/>
      <c r="G13" s="30"/>
      <c r="H13" s="30"/>
      <c r="I13" s="30"/>
      <c r="J13" s="30"/>
      <c r="K13" s="28"/>
      <c r="L13" s="28">
        <f t="shared" si="0"/>
        <v>25382.401046944964</v>
      </c>
      <c r="M13" s="28">
        <f t="shared" si="1"/>
        <v>1007.9891077421314</v>
      </c>
      <c r="N13" s="28">
        <f t="shared" si="2"/>
        <v>0</v>
      </c>
      <c r="O13" s="28">
        <f t="shared" si="3"/>
        <v>0</v>
      </c>
      <c r="P13" s="28">
        <f t="shared" si="4"/>
        <v>0</v>
      </c>
      <c r="Q13" s="42">
        <f t="shared" si="5"/>
        <v>0</v>
      </c>
      <c r="R13" s="28"/>
      <c r="S13" s="28"/>
      <c r="T13" s="8">
        <f t="shared" si="7"/>
        <v>3309176</v>
      </c>
      <c r="U13" s="43">
        <f t="shared" si="8"/>
        <v>26390.390154687095</v>
      </c>
      <c r="V13" s="13">
        <f t="shared" ref="V13:AA13" si="18">D13/$T$13*100</f>
        <v>96.180469095629846</v>
      </c>
      <c r="W13" s="4">
        <f t="shared" si="18"/>
        <v>3.8195309043701511</v>
      </c>
      <c r="X13" s="4">
        <f t="shared" si="18"/>
        <v>0</v>
      </c>
      <c r="Y13" s="4">
        <f t="shared" si="18"/>
        <v>0</v>
      </c>
      <c r="Z13" s="4">
        <f t="shared" si="18"/>
        <v>0</v>
      </c>
      <c r="AA13" s="48">
        <f t="shared" si="18"/>
        <v>0</v>
      </c>
      <c r="AC13" s="14"/>
    </row>
    <row r="14" spans="1:29" x14ac:dyDescent="0.2">
      <c r="A14" s="1" t="s">
        <v>128</v>
      </c>
      <c r="B14" s="8" t="s">
        <v>11</v>
      </c>
      <c r="C14" s="13">
        <v>122.16499836554055</v>
      </c>
      <c r="D14" s="29">
        <v>4485812</v>
      </c>
      <c r="E14" s="30">
        <v>111580</v>
      </c>
      <c r="F14" s="30"/>
      <c r="G14" s="30"/>
      <c r="H14" s="30"/>
      <c r="I14" s="30"/>
      <c r="J14" s="30"/>
      <c r="K14" s="28"/>
      <c r="L14" s="28">
        <f t="shared" si="0"/>
        <v>36719.289976803426</v>
      </c>
      <c r="M14" s="28">
        <f t="shared" si="1"/>
        <v>913.35490109967293</v>
      </c>
      <c r="N14" s="28">
        <f t="shared" si="2"/>
        <v>0</v>
      </c>
      <c r="O14" s="28">
        <f t="shared" si="3"/>
        <v>0</v>
      </c>
      <c r="P14" s="28">
        <f t="shared" si="4"/>
        <v>0</v>
      </c>
      <c r="Q14" s="42">
        <f t="shared" si="5"/>
        <v>0</v>
      </c>
      <c r="R14" s="28"/>
      <c r="S14" s="28"/>
      <c r="T14" s="8">
        <f t="shared" si="7"/>
        <v>4597392</v>
      </c>
      <c r="U14" s="43">
        <f t="shared" si="8"/>
        <v>37632.644877903098</v>
      </c>
      <c r="V14" s="13">
        <f t="shared" ref="V14:AA14" si="19">D14/$T$14*100</f>
        <v>97.572971806624281</v>
      </c>
      <c r="W14" s="4">
        <f t="shared" si="19"/>
        <v>2.4270281933757225</v>
      </c>
      <c r="X14" s="4">
        <f t="shared" si="19"/>
        <v>0</v>
      </c>
      <c r="Y14" s="4">
        <f t="shared" si="19"/>
        <v>0</v>
      </c>
      <c r="Z14" s="4">
        <f t="shared" si="19"/>
        <v>0</v>
      </c>
      <c r="AA14" s="48">
        <f t="shared" si="19"/>
        <v>0</v>
      </c>
      <c r="AC14" s="14"/>
    </row>
    <row r="15" spans="1:29" x14ac:dyDescent="0.2">
      <c r="A15" s="1" t="s">
        <v>130</v>
      </c>
      <c r="B15" s="8" t="s">
        <v>12</v>
      </c>
      <c r="C15" s="13">
        <v>146.87068065753425</v>
      </c>
      <c r="D15" s="29">
        <v>176895</v>
      </c>
      <c r="E15" s="30">
        <v>6852</v>
      </c>
      <c r="F15" s="30">
        <v>168476</v>
      </c>
      <c r="G15" s="30">
        <v>85796</v>
      </c>
      <c r="H15" s="30">
        <v>47792</v>
      </c>
      <c r="I15" s="30">
        <v>2565150</v>
      </c>
      <c r="J15" s="30"/>
      <c r="K15" s="28"/>
      <c r="L15" s="28">
        <f t="shared" si="0"/>
        <v>1204.4269094964907</v>
      </c>
      <c r="M15" s="28">
        <f t="shared" si="1"/>
        <v>46.65328688696659</v>
      </c>
      <c r="N15" s="28">
        <f t="shared" si="2"/>
        <v>1147.1043726749244</v>
      </c>
      <c r="O15" s="28">
        <f t="shared" si="3"/>
        <v>584.16015787422441</v>
      </c>
      <c r="P15" s="28">
        <f t="shared" si="4"/>
        <v>325.40190993898239</v>
      </c>
      <c r="Q15" s="42">
        <f t="shared" si="5"/>
        <v>17465.364690324335</v>
      </c>
      <c r="R15" s="28"/>
      <c r="S15" s="28"/>
      <c r="T15" s="8">
        <f t="shared" si="7"/>
        <v>3050961</v>
      </c>
      <c r="U15" s="43">
        <f t="shared" si="8"/>
        <v>20773.111327195922</v>
      </c>
      <c r="V15" s="13">
        <f t="shared" ref="V15:AA15" si="20">D15/$T$15*100</f>
        <v>5.7980092174236244</v>
      </c>
      <c r="W15" s="4">
        <f t="shared" si="20"/>
        <v>0.22458497502917935</v>
      </c>
      <c r="X15" s="4">
        <f t="shared" si="20"/>
        <v>5.5220633760969084</v>
      </c>
      <c r="Y15" s="4">
        <f t="shared" si="20"/>
        <v>2.8120975653244993</v>
      </c>
      <c r="Z15" s="4">
        <f t="shared" si="20"/>
        <v>1.5664572572379651</v>
      </c>
      <c r="AA15" s="48">
        <f t="shared" si="20"/>
        <v>84.076787608887827</v>
      </c>
      <c r="AC15" s="14"/>
    </row>
    <row r="16" spans="1:29" x14ac:dyDescent="0.2">
      <c r="A16" s="1" t="s">
        <v>132</v>
      </c>
      <c r="B16" s="8" t="s">
        <v>13</v>
      </c>
      <c r="C16" s="13">
        <v>130.89217923422584</v>
      </c>
      <c r="D16" s="29">
        <v>225809</v>
      </c>
      <c r="E16" s="30"/>
      <c r="F16" s="30">
        <v>143553</v>
      </c>
      <c r="G16" s="30">
        <v>71940</v>
      </c>
      <c r="H16" s="30">
        <v>48827</v>
      </c>
      <c r="I16" s="30">
        <v>3091109</v>
      </c>
      <c r="J16" s="30"/>
      <c r="K16" s="28"/>
      <c r="L16" s="28">
        <f t="shared" si="0"/>
        <v>1725.1527273904169</v>
      </c>
      <c r="M16" s="28">
        <f t="shared" si="1"/>
        <v>0</v>
      </c>
      <c r="N16" s="28">
        <f t="shared" si="2"/>
        <v>1096.7270988980799</v>
      </c>
      <c r="O16" s="28">
        <f t="shared" si="3"/>
        <v>549.61266915165731</v>
      </c>
      <c r="P16" s="28">
        <f t="shared" si="4"/>
        <v>373.03221846911276</v>
      </c>
      <c r="Q16" s="42">
        <f t="shared" si="5"/>
        <v>23615.689020415768</v>
      </c>
      <c r="R16" s="28"/>
      <c r="S16" s="28"/>
      <c r="T16" s="8">
        <f t="shared" si="7"/>
        <v>3581238</v>
      </c>
      <c r="U16" s="43">
        <f t="shared" si="8"/>
        <v>27360.213734325036</v>
      </c>
      <c r="V16" s="13">
        <f t="shared" ref="V16:AA16" si="21">D16/$T$16*100</f>
        <v>6.3053335187440771</v>
      </c>
      <c r="W16" s="4">
        <f t="shared" si="21"/>
        <v>0</v>
      </c>
      <c r="X16" s="4">
        <f t="shared" si="21"/>
        <v>4.0084741645207611</v>
      </c>
      <c r="Y16" s="4">
        <f t="shared" si="21"/>
        <v>2.0088025425844358</v>
      </c>
      <c r="Z16" s="4">
        <f t="shared" si="21"/>
        <v>1.3634112002609153</v>
      </c>
      <c r="AA16" s="48">
        <f t="shared" si="21"/>
        <v>86.313978573889813</v>
      </c>
      <c r="AC16" s="14"/>
    </row>
    <row r="17" spans="1:29" ht="16" thickBot="1" x14ac:dyDescent="0.25">
      <c r="A17" s="1" t="s">
        <v>134</v>
      </c>
      <c r="B17" s="8" t="s">
        <v>14</v>
      </c>
      <c r="C17" s="13">
        <v>68.818694063301194</v>
      </c>
      <c r="D17" s="29">
        <v>335219</v>
      </c>
      <c r="E17" s="30"/>
      <c r="F17" s="30">
        <v>167805</v>
      </c>
      <c r="G17" s="30">
        <v>104417</v>
      </c>
      <c r="H17" s="30">
        <v>82379</v>
      </c>
      <c r="I17" s="30">
        <v>3932880</v>
      </c>
      <c r="J17" s="30"/>
      <c r="K17" s="28"/>
      <c r="L17" s="28">
        <f t="shared" si="0"/>
        <v>4871.045644830996</v>
      </c>
      <c r="M17" s="28">
        <f t="shared" si="1"/>
        <v>0</v>
      </c>
      <c r="N17" s="28">
        <f t="shared" si="2"/>
        <v>2438.3636202926004</v>
      </c>
      <c r="O17" s="28">
        <f t="shared" si="3"/>
        <v>1517.2766850814485</v>
      </c>
      <c r="P17" s="28">
        <f t="shared" si="4"/>
        <v>1197.0439300145058</v>
      </c>
      <c r="Q17" s="42">
        <f t="shared" si="5"/>
        <v>57148.425344753508</v>
      </c>
      <c r="R17" s="28"/>
      <c r="S17" s="28"/>
      <c r="T17" s="8">
        <f t="shared" si="7"/>
        <v>4622700</v>
      </c>
      <c r="U17" s="43">
        <f t="shared" si="8"/>
        <v>67172.155224973059</v>
      </c>
      <c r="V17" s="13">
        <f t="shared" ref="V17:AA17" si="22">D17/$T$17*100</f>
        <v>7.2515845717870508</v>
      </c>
      <c r="W17" s="4">
        <f t="shared" si="22"/>
        <v>0</v>
      </c>
      <c r="X17" s="4">
        <f t="shared" si="22"/>
        <v>3.630021416055552</v>
      </c>
      <c r="Y17" s="4">
        <f t="shared" si="22"/>
        <v>2.2587881541090704</v>
      </c>
      <c r="Z17" s="4">
        <f t="shared" si="22"/>
        <v>1.7820537780950527</v>
      </c>
      <c r="AA17" s="48">
        <f t="shared" si="22"/>
        <v>85.077552079953279</v>
      </c>
      <c r="AC17" s="14"/>
    </row>
    <row r="18" spans="1:29" s="95" customFormat="1" x14ac:dyDescent="0.2">
      <c r="A18" s="109" t="s">
        <v>136</v>
      </c>
      <c r="B18" s="88" t="s">
        <v>15</v>
      </c>
      <c r="C18" s="89">
        <v>130.65055284958299</v>
      </c>
      <c r="D18" s="90">
        <v>108289</v>
      </c>
      <c r="E18" s="91">
        <v>4399</v>
      </c>
      <c r="F18" s="91">
        <v>1025042</v>
      </c>
      <c r="G18" s="91">
        <v>39721</v>
      </c>
      <c r="H18" s="91">
        <v>49860</v>
      </c>
      <c r="I18" s="91">
        <v>3268285</v>
      </c>
      <c r="J18" s="91"/>
      <c r="K18" s="92"/>
      <c r="L18" s="92">
        <f t="shared" si="0"/>
        <v>828.84456007371296</v>
      </c>
      <c r="M18" s="92">
        <f t="shared" si="1"/>
        <v>33.669968508013405</v>
      </c>
      <c r="N18" s="92">
        <f t="shared" si="2"/>
        <v>7845.6767127508692</v>
      </c>
      <c r="O18" s="92">
        <f t="shared" si="3"/>
        <v>304.02473723728127</v>
      </c>
      <c r="P18" s="92">
        <f t="shared" si="4"/>
        <v>381.62869511469614</v>
      </c>
      <c r="Q18" s="93">
        <f t="shared" si="5"/>
        <v>25015.470112573897</v>
      </c>
      <c r="R18" s="92"/>
      <c r="S18" s="92"/>
      <c r="T18" s="88">
        <f t="shared" si="7"/>
        <v>4495596</v>
      </c>
      <c r="U18" s="94">
        <f t="shared" si="8"/>
        <v>34409.314786258474</v>
      </c>
      <c r="V18" s="89">
        <f t="shared" ref="V18:AA18" si="23">D18/$T$18*100</f>
        <v>2.4087796145383167</v>
      </c>
      <c r="W18" s="95">
        <f t="shared" si="23"/>
        <v>9.7851319380122231E-2</v>
      </c>
      <c r="X18" s="95">
        <f t="shared" si="23"/>
        <v>22.801025714944139</v>
      </c>
      <c r="Y18" s="95">
        <f t="shared" si="23"/>
        <v>0.88355359333890326</v>
      </c>
      <c r="Z18" s="95">
        <f t="shared" si="23"/>
        <v>1.1090854249358706</v>
      </c>
      <c r="AA18" s="96">
        <f t="shared" si="23"/>
        <v>72.699704332862652</v>
      </c>
      <c r="AC18" s="97"/>
    </row>
    <row r="19" spans="1:29" x14ac:dyDescent="0.2">
      <c r="A19" s="110" t="s">
        <v>138</v>
      </c>
      <c r="B19" s="8" t="s">
        <v>16</v>
      </c>
      <c r="C19" s="13">
        <v>110.44600086309183</v>
      </c>
      <c r="D19" s="29">
        <v>64529</v>
      </c>
      <c r="E19" s="30"/>
      <c r="F19" s="30">
        <v>164910</v>
      </c>
      <c r="G19" s="30">
        <v>40376</v>
      </c>
      <c r="H19" s="30">
        <v>27114</v>
      </c>
      <c r="I19" s="30">
        <v>3353147</v>
      </c>
      <c r="J19" s="30"/>
      <c r="K19" s="28"/>
      <c r="L19" s="28">
        <f t="shared" si="0"/>
        <v>584.25836604070207</v>
      </c>
      <c r="M19" s="28">
        <f t="shared" si="1"/>
        <v>0</v>
      </c>
      <c r="N19" s="28">
        <f t="shared" si="2"/>
        <v>1493.1278517220503</v>
      </c>
      <c r="O19" s="28">
        <f t="shared" si="3"/>
        <v>365.57231302607181</v>
      </c>
      <c r="P19" s="28">
        <f t="shared" si="4"/>
        <v>245.49553436172258</v>
      </c>
      <c r="Q19" s="42">
        <f t="shared" si="5"/>
        <v>30360.05807178605</v>
      </c>
      <c r="R19" s="28"/>
      <c r="S19" s="28"/>
      <c r="T19" s="8">
        <f t="shared" si="7"/>
        <v>3650076</v>
      </c>
      <c r="U19" s="43">
        <f t="shared" si="8"/>
        <v>33048.512136936595</v>
      </c>
      <c r="V19" s="13">
        <f t="shared" ref="V19:AA19" si="24">D19/$T$19*100</f>
        <v>1.7678809975463525</v>
      </c>
      <c r="W19" s="4">
        <f t="shared" si="24"/>
        <v>0</v>
      </c>
      <c r="X19" s="4">
        <f t="shared" si="24"/>
        <v>4.517988118603558</v>
      </c>
      <c r="Y19" s="4">
        <f t="shared" si="24"/>
        <v>1.1061687482671594</v>
      </c>
      <c r="Z19" s="4">
        <f t="shared" si="24"/>
        <v>0.74283384784316819</v>
      </c>
      <c r="AA19" s="48">
        <f t="shared" si="24"/>
        <v>91.865128287739765</v>
      </c>
      <c r="AC19" s="14"/>
    </row>
    <row r="20" spans="1:29" s="106" customFormat="1" ht="16" thickBot="1" x14ac:dyDescent="0.25">
      <c r="A20" s="111" t="s">
        <v>140</v>
      </c>
      <c r="B20" s="99" t="s">
        <v>17</v>
      </c>
      <c r="C20" s="100">
        <v>117.52188726819432</v>
      </c>
      <c r="D20" s="101">
        <v>123380</v>
      </c>
      <c r="E20" s="102"/>
      <c r="F20" s="102">
        <v>136227</v>
      </c>
      <c r="G20" s="102">
        <v>58144</v>
      </c>
      <c r="H20" s="102">
        <v>52588</v>
      </c>
      <c r="I20" s="102">
        <v>4079312</v>
      </c>
      <c r="J20" s="102"/>
      <c r="K20" s="103"/>
      <c r="L20" s="103">
        <f t="shared" si="0"/>
        <v>1049.8469933386707</v>
      </c>
      <c r="M20" s="103">
        <f t="shared" si="1"/>
        <v>0</v>
      </c>
      <c r="N20" s="103">
        <f t="shared" si="2"/>
        <v>1159.1628007906231</v>
      </c>
      <c r="O20" s="103">
        <f t="shared" si="3"/>
        <v>494.7503937484492</v>
      </c>
      <c r="P20" s="103">
        <f t="shared" si="4"/>
        <v>447.47409374042803</v>
      </c>
      <c r="Q20" s="104">
        <f t="shared" si="5"/>
        <v>34711.083142246389</v>
      </c>
      <c r="R20" s="103"/>
      <c r="S20" s="103"/>
      <c r="T20" s="99">
        <f t="shared" si="7"/>
        <v>4449651</v>
      </c>
      <c r="U20" s="105">
        <f t="shared" si="8"/>
        <v>37862.317423864559</v>
      </c>
      <c r="V20" s="100">
        <f t="shared" ref="V20:AA20" si="25">D20/$T$20*100</f>
        <v>2.7728017320908989</v>
      </c>
      <c r="W20" s="106">
        <f t="shared" si="25"/>
        <v>0</v>
      </c>
      <c r="X20" s="106">
        <f t="shared" si="25"/>
        <v>3.0615210046810413</v>
      </c>
      <c r="Y20" s="106">
        <f t="shared" si="25"/>
        <v>1.3067092228132049</v>
      </c>
      <c r="Z20" s="106">
        <f t="shared" si="25"/>
        <v>1.1818454975457626</v>
      </c>
      <c r="AA20" s="107">
        <f t="shared" si="25"/>
        <v>91.6771225428691</v>
      </c>
      <c r="AC20" s="108"/>
    </row>
    <row r="21" spans="1:29" x14ac:dyDescent="0.2">
      <c r="A21" s="51" t="s">
        <v>70</v>
      </c>
      <c r="B21" s="8" t="s">
        <v>18</v>
      </c>
      <c r="C21" s="13">
        <v>97.198118384657477</v>
      </c>
      <c r="D21" s="29">
        <v>2719576</v>
      </c>
      <c r="E21" s="30">
        <v>84686</v>
      </c>
      <c r="F21" s="30"/>
      <c r="G21" s="30"/>
      <c r="H21" s="30">
        <v>4900</v>
      </c>
      <c r="I21" s="30"/>
      <c r="J21" s="30"/>
      <c r="K21" s="28"/>
      <c r="L21" s="28">
        <f t="shared" si="0"/>
        <v>27979.718591232311</v>
      </c>
      <c r="M21" s="28">
        <f t="shared" si="1"/>
        <v>871.27201027553542</v>
      </c>
      <c r="N21" s="28">
        <f t="shared" si="2"/>
        <v>0</v>
      </c>
      <c r="O21" s="28">
        <f t="shared" si="3"/>
        <v>0</v>
      </c>
      <c r="P21" s="28">
        <f t="shared" si="4"/>
        <v>50.412498528093472</v>
      </c>
      <c r="Q21" s="42">
        <f t="shared" si="5"/>
        <v>0</v>
      </c>
      <c r="R21" s="28"/>
      <c r="S21" s="28"/>
      <c r="T21" s="8">
        <f t="shared" si="7"/>
        <v>2809162</v>
      </c>
      <c r="U21" s="43">
        <f t="shared" si="8"/>
        <v>28901.403100035939</v>
      </c>
      <c r="V21" s="13">
        <f t="shared" ref="V21:AA21" si="26">D21/$T$21*100</f>
        <v>96.810935076012001</v>
      </c>
      <c r="W21" s="4">
        <f t="shared" si="26"/>
        <v>3.0146356813882575</v>
      </c>
      <c r="X21" s="4">
        <f t="shared" si="26"/>
        <v>0</v>
      </c>
      <c r="Y21" s="4">
        <f t="shared" si="26"/>
        <v>0</v>
      </c>
      <c r="Z21" s="4">
        <f t="shared" si="26"/>
        <v>0.1744292425997504</v>
      </c>
      <c r="AA21" s="48">
        <f t="shared" si="26"/>
        <v>0</v>
      </c>
      <c r="AC21" s="14"/>
    </row>
    <row r="22" spans="1:29" x14ac:dyDescent="0.2">
      <c r="A22" s="1" t="s">
        <v>72</v>
      </c>
      <c r="B22" s="8" t="s">
        <v>19</v>
      </c>
      <c r="C22" s="13">
        <v>127.31000379392765</v>
      </c>
      <c r="D22" s="29">
        <v>2685884</v>
      </c>
      <c r="E22" s="30">
        <v>39937</v>
      </c>
      <c r="F22" s="30"/>
      <c r="G22" s="30"/>
      <c r="H22" s="30"/>
      <c r="I22" s="30"/>
      <c r="J22" s="30"/>
      <c r="K22" s="28"/>
      <c r="L22" s="28">
        <f t="shared" si="0"/>
        <v>21097.19519251251</v>
      </c>
      <c r="M22" s="28">
        <f t="shared" si="1"/>
        <v>313.69883598970478</v>
      </c>
      <c r="N22" s="28">
        <f t="shared" si="2"/>
        <v>0</v>
      </c>
      <c r="O22" s="28">
        <f t="shared" si="3"/>
        <v>0</v>
      </c>
      <c r="P22" s="28">
        <f t="shared" si="4"/>
        <v>0</v>
      </c>
      <c r="Q22" s="42">
        <f t="shared" si="5"/>
        <v>0</v>
      </c>
      <c r="R22" s="28"/>
      <c r="S22" s="28"/>
      <c r="T22" s="8">
        <f t="shared" si="7"/>
        <v>2725821</v>
      </c>
      <c r="U22" s="43">
        <f t="shared" si="8"/>
        <v>21410.894028502214</v>
      </c>
      <c r="V22" s="13">
        <f t="shared" ref="V22:AA22" si="27">D22/$T$22*100</f>
        <v>98.534863441143045</v>
      </c>
      <c r="W22" s="4">
        <f t="shared" si="27"/>
        <v>1.4651365588569463</v>
      </c>
      <c r="X22" s="4">
        <f t="shared" si="27"/>
        <v>0</v>
      </c>
      <c r="Y22" s="4">
        <f t="shared" si="27"/>
        <v>0</v>
      </c>
      <c r="Z22" s="4">
        <f t="shared" si="27"/>
        <v>0</v>
      </c>
      <c r="AA22" s="48">
        <f t="shared" si="27"/>
        <v>0</v>
      </c>
      <c r="AC22" s="14"/>
    </row>
    <row r="23" spans="1:29" ht="16" x14ac:dyDescent="0.2">
      <c r="A23" s="52" t="s">
        <v>74</v>
      </c>
      <c r="B23" s="8" t="s">
        <v>20</v>
      </c>
      <c r="C23" s="13">
        <v>143.4385517594913</v>
      </c>
      <c r="D23" s="29">
        <v>3222149</v>
      </c>
      <c r="E23" s="30">
        <v>73444</v>
      </c>
      <c r="F23" s="30"/>
      <c r="G23" s="30"/>
      <c r="H23" s="30"/>
      <c r="I23" s="30"/>
      <c r="J23" s="30"/>
      <c r="K23" s="28"/>
      <c r="L23" s="28">
        <f t="shared" si="0"/>
        <v>22463.619162878163</v>
      </c>
      <c r="M23" s="28">
        <f t="shared" si="1"/>
        <v>512.02413227893055</v>
      </c>
      <c r="N23" s="28">
        <f t="shared" si="2"/>
        <v>0</v>
      </c>
      <c r="O23" s="28">
        <f t="shared" si="3"/>
        <v>0</v>
      </c>
      <c r="P23" s="28">
        <f t="shared" si="4"/>
        <v>0</v>
      </c>
      <c r="Q23" s="42">
        <f t="shared" si="5"/>
        <v>0</v>
      </c>
      <c r="R23" s="28"/>
      <c r="S23" s="28"/>
      <c r="T23" s="8">
        <f t="shared" si="7"/>
        <v>3295593</v>
      </c>
      <c r="U23" s="43">
        <f t="shared" si="8"/>
        <v>22975.643295157093</v>
      </c>
      <c r="V23" s="13">
        <f t="shared" ref="V23:AA23" si="28">D23/$T$23*100</f>
        <v>97.771448112676538</v>
      </c>
      <c r="W23" s="4">
        <f t="shared" si="28"/>
        <v>2.2285518873234649</v>
      </c>
      <c r="X23" s="4">
        <f t="shared" si="28"/>
        <v>0</v>
      </c>
      <c r="Y23" s="4">
        <f t="shared" si="28"/>
        <v>0</v>
      </c>
      <c r="Z23" s="4">
        <f t="shared" si="28"/>
        <v>0</v>
      </c>
      <c r="AA23" s="48">
        <f t="shared" si="28"/>
        <v>0</v>
      </c>
      <c r="AC23" s="14"/>
    </row>
    <row r="24" spans="1:29" ht="16" x14ac:dyDescent="0.2">
      <c r="A24" s="52" t="s">
        <v>76</v>
      </c>
      <c r="B24" s="8" t="s">
        <v>21</v>
      </c>
      <c r="C24" s="13">
        <v>110.74207412094421</v>
      </c>
      <c r="D24" s="29">
        <v>289128</v>
      </c>
      <c r="E24" s="30">
        <v>6438</v>
      </c>
      <c r="F24" s="30">
        <v>135249</v>
      </c>
      <c r="G24" s="30">
        <v>88456</v>
      </c>
      <c r="H24" s="30">
        <v>14352</v>
      </c>
      <c r="I24" s="30">
        <v>2044202</v>
      </c>
      <c r="J24" s="30"/>
      <c r="K24" s="28"/>
      <c r="L24" s="28">
        <f t="shared" si="0"/>
        <v>2610.8234137301424</v>
      </c>
      <c r="M24" s="28">
        <f t="shared" si="1"/>
        <v>58.135085974359647</v>
      </c>
      <c r="N24" s="28">
        <f t="shared" si="2"/>
        <v>1221.2973350335769</v>
      </c>
      <c r="O24" s="28">
        <f t="shared" si="3"/>
        <v>798.75693770549185</v>
      </c>
      <c r="P24" s="28">
        <f t="shared" si="4"/>
        <v>129.59843956259857</v>
      </c>
      <c r="Q24" s="42">
        <f t="shared" si="5"/>
        <v>18459.126905709527</v>
      </c>
      <c r="R24" s="28"/>
      <c r="S24" s="28"/>
      <c r="T24" s="8">
        <f t="shared" si="7"/>
        <v>2577825</v>
      </c>
      <c r="U24" s="43">
        <f t="shared" si="8"/>
        <v>23277.738117715697</v>
      </c>
      <c r="V24" s="13">
        <f t="shared" ref="V24:AA24" si="29">D24/$T$24*100</f>
        <v>11.215966948881324</v>
      </c>
      <c r="W24" s="4">
        <f t="shared" si="29"/>
        <v>0.24974542492217275</v>
      </c>
      <c r="X24" s="4">
        <f t="shared" si="29"/>
        <v>5.2466323353990285</v>
      </c>
      <c r="Y24" s="4">
        <f t="shared" si="29"/>
        <v>3.431419898557893</v>
      </c>
      <c r="Z24" s="4">
        <f t="shared" si="29"/>
        <v>0.55674842163451743</v>
      </c>
      <c r="AA24" s="48">
        <f t="shared" si="29"/>
        <v>79.299486970605059</v>
      </c>
      <c r="AC24" s="14"/>
    </row>
    <row r="25" spans="1:29" ht="16" x14ac:dyDescent="0.2">
      <c r="A25" s="52" t="s">
        <v>78</v>
      </c>
      <c r="B25" s="8" t="s">
        <v>22</v>
      </c>
      <c r="C25" s="13">
        <v>137.29877325454129</v>
      </c>
      <c r="D25" s="29">
        <v>328510</v>
      </c>
      <c r="E25" s="30"/>
      <c r="F25" s="30">
        <v>184118</v>
      </c>
      <c r="G25" s="30">
        <v>125819</v>
      </c>
      <c r="H25" s="30">
        <v>44197</v>
      </c>
      <c r="I25" s="30">
        <v>2571645</v>
      </c>
      <c r="J25" s="30"/>
      <c r="K25" s="28"/>
      <c r="L25" s="28">
        <f t="shared" si="0"/>
        <v>2392.665223533847</v>
      </c>
      <c r="M25" s="28">
        <f t="shared" si="1"/>
        <v>0</v>
      </c>
      <c r="N25" s="28">
        <f t="shared" si="2"/>
        <v>1341.0025132464912</v>
      </c>
      <c r="O25" s="28">
        <f t="shared" si="3"/>
        <v>916.38837709599431</v>
      </c>
      <c r="P25" s="28">
        <f t="shared" si="4"/>
        <v>321.90382297198084</v>
      </c>
      <c r="Q25" s="42">
        <f t="shared" si="5"/>
        <v>18730.283884127424</v>
      </c>
      <c r="R25" s="28"/>
      <c r="S25" s="28"/>
      <c r="T25" s="8">
        <f t="shared" si="7"/>
        <v>3254289</v>
      </c>
      <c r="U25" s="43">
        <f t="shared" si="8"/>
        <v>23702.243820975738</v>
      </c>
      <c r="V25" s="13">
        <f t="shared" ref="V25:AA25" si="30">D25/$T$25*100</f>
        <v>10.094678130921993</v>
      </c>
      <c r="W25" s="4">
        <f t="shared" si="30"/>
        <v>0</v>
      </c>
      <c r="X25" s="4">
        <f t="shared" si="30"/>
        <v>5.6577028038997152</v>
      </c>
      <c r="Y25" s="4">
        <f t="shared" si="30"/>
        <v>3.8662515836792615</v>
      </c>
      <c r="Z25" s="4">
        <f t="shared" si="30"/>
        <v>1.3581153978641725</v>
      </c>
      <c r="AA25" s="48">
        <f t="shared" si="30"/>
        <v>79.023252083634858</v>
      </c>
      <c r="AC25" s="14"/>
    </row>
    <row r="26" spans="1:29" ht="17" thickBot="1" x14ac:dyDescent="0.25">
      <c r="A26" s="52" t="s">
        <v>80</v>
      </c>
      <c r="B26" s="8" t="s">
        <v>23</v>
      </c>
      <c r="C26" s="13">
        <v>136.74822250998346</v>
      </c>
      <c r="D26" s="29">
        <v>262033</v>
      </c>
      <c r="E26" s="30">
        <v>5709</v>
      </c>
      <c r="F26" s="30">
        <v>158066</v>
      </c>
      <c r="G26" s="30">
        <v>101574</v>
      </c>
      <c r="H26" s="30">
        <v>40379</v>
      </c>
      <c r="I26" s="30">
        <v>2200796</v>
      </c>
      <c r="J26" s="30"/>
      <c r="K26" s="28"/>
      <c r="L26" s="28">
        <f t="shared" si="0"/>
        <v>1916.1711588673115</v>
      </c>
      <c r="M26" s="28">
        <f t="shared" si="1"/>
        <v>41.748257456020738</v>
      </c>
      <c r="N26" s="28">
        <f t="shared" si="2"/>
        <v>1155.8907099392843</v>
      </c>
      <c r="O26" s="28">
        <f t="shared" si="3"/>
        <v>742.78113554700485</v>
      </c>
      <c r="P26" s="28">
        <f t="shared" si="4"/>
        <v>295.2798892654863</v>
      </c>
      <c r="Q26" s="42">
        <f t="shared" si="5"/>
        <v>16093.781400627187</v>
      </c>
      <c r="R26" s="28"/>
      <c r="S26" s="28"/>
      <c r="T26" s="8">
        <f t="shared" si="7"/>
        <v>2768557</v>
      </c>
      <c r="U26" s="43">
        <f t="shared" si="8"/>
        <v>20245.652551702296</v>
      </c>
      <c r="V26" s="13">
        <f t="shared" ref="V26:AA26" si="31">D26/$T$26*100</f>
        <v>9.4646055688938322</v>
      </c>
      <c r="W26" s="4">
        <f t="shared" si="31"/>
        <v>0.20620850500820465</v>
      </c>
      <c r="X26" s="4">
        <f t="shared" si="31"/>
        <v>5.7093280001098039</v>
      </c>
      <c r="Y26" s="4">
        <f t="shared" si="31"/>
        <v>3.6688426497991555</v>
      </c>
      <c r="Z26" s="4">
        <f t="shared" si="31"/>
        <v>1.4584854131592739</v>
      </c>
      <c r="AA26" s="48">
        <f t="shared" si="31"/>
        <v>79.492529863029731</v>
      </c>
      <c r="AC26" s="14"/>
    </row>
    <row r="27" spans="1:29" s="95" customFormat="1" x14ac:dyDescent="0.2">
      <c r="A27" s="109" t="s">
        <v>82</v>
      </c>
      <c r="B27" s="88" t="s">
        <v>24</v>
      </c>
      <c r="C27" s="89">
        <v>117.01602075231662</v>
      </c>
      <c r="D27" s="90">
        <v>7093</v>
      </c>
      <c r="E27" s="91"/>
      <c r="F27" s="91">
        <v>92117</v>
      </c>
      <c r="G27" s="91">
        <v>30916</v>
      </c>
      <c r="H27" s="91">
        <v>9179</v>
      </c>
      <c r="I27" s="91">
        <v>2196906</v>
      </c>
      <c r="J27" s="91"/>
      <c r="K27" s="92"/>
      <c r="L27" s="92">
        <f t="shared" si="0"/>
        <v>60.61563155538748</v>
      </c>
      <c r="M27" s="92">
        <f t="shared" si="1"/>
        <v>0</v>
      </c>
      <c r="N27" s="92">
        <f t="shared" si="2"/>
        <v>787.21699309003645</v>
      </c>
      <c r="O27" s="92">
        <f t="shared" si="3"/>
        <v>264.20313903374586</v>
      </c>
      <c r="P27" s="92">
        <f t="shared" si="4"/>
        <v>78.442250394318577</v>
      </c>
      <c r="Q27" s="93">
        <f t="shared" si="5"/>
        <v>18774.403589147059</v>
      </c>
      <c r="R27" s="92"/>
      <c r="S27" s="92"/>
      <c r="T27" s="88">
        <f t="shared" si="7"/>
        <v>2336211</v>
      </c>
      <c r="U27" s="94">
        <f t="shared" si="8"/>
        <v>19964.881603220547</v>
      </c>
      <c r="V27" s="89">
        <f t="shared" ref="V27:AA27" si="32">D27/$T$27*100</f>
        <v>0.30361127483776079</v>
      </c>
      <c r="W27" s="95">
        <f t="shared" si="32"/>
        <v>0</v>
      </c>
      <c r="X27" s="95">
        <f t="shared" si="32"/>
        <v>3.9430085724277477</v>
      </c>
      <c r="Y27" s="95">
        <f t="shared" si="32"/>
        <v>1.3233393730275218</v>
      </c>
      <c r="Z27" s="95">
        <f t="shared" si="32"/>
        <v>0.39290115490424449</v>
      </c>
      <c r="AA27" s="96">
        <f t="shared" si="32"/>
        <v>94.03713962480272</v>
      </c>
      <c r="AC27" s="97"/>
    </row>
    <row r="28" spans="1:29" x14ac:dyDescent="0.2">
      <c r="A28" s="110" t="s">
        <v>84</v>
      </c>
      <c r="B28" s="8" t="s">
        <v>25</v>
      </c>
      <c r="C28" s="13">
        <v>124.6589491999994</v>
      </c>
      <c r="D28" s="29">
        <v>4461</v>
      </c>
      <c r="E28" s="30"/>
      <c r="F28" s="30">
        <v>104040</v>
      </c>
      <c r="G28" s="30">
        <v>96076</v>
      </c>
      <c r="H28" s="30">
        <v>18313</v>
      </c>
      <c r="I28" s="30">
        <v>2514603</v>
      </c>
      <c r="J28" s="30"/>
      <c r="K28" s="28"/>
      <c r="L28" s="28">
        <f t="shared" si="0"/>
        <v>35.7856377631011</v>
      </c>
      <c r="M28" s="28">
        <f t="shared" si="1"/>
        <v>0</v>
      </c>
      <c r="N28" s="28">
        <f t="shared" si="2"/>
        <v>834.59712012397188</v>
      </c>
      <c r="O28" s="28">
        <f t="shared" si="3"/>
        <v>770.71081231286735</v>
      </c>
      <c r="P28" s="28">
        <f t="shared" si="4"/>
        <v>146.90481604027582</v>
      </c>
      <c r="Q28" s="42">
        <f t="shared" si="5"/>
        <v>20171.861034747213</v>
      </c>
      <c r="R28" s="28"/>
      <c r="S28" s="28"/>
      <c r="T28" s="8">
        <f t="shared" si="7"/>
        <v>2737493</v>
      </c>
      <c r="U28" s="43">
        <f t="shared" si="8"/>
        <v>21959.859420987428</v>
      </c>
      <c r="V28" s="13">
        <f t="shared" ref="V28:AA28" si="33">D28/$T$28*100</f>
        <v>0.16295932080922215</v>
      </c>
      <c r="W28" s="4">
        <f t="shared" si="33"/>
        <v>0</v>
      </c>
      <c r="X28" s="4">
        <f t="shared" si="33"/>
        <v>3.8005576635264458</v>
      </c>
      <c r="Y28" s="4">
        <f t="shared" si="33"/>
        <v>3.509634545184225</v>
      </c>
      <c r="Z28" s="4">
        <f t="shared" si="33"/>
        <v>0.66896974713725288</v>
      </c>
      <c r="AA28" s="48">
        <f t="shared" si="33"/>
        <v>91.85787872334285</v>
      </c>
      <c r="AC28" s="14"/>
    </row>
    <row r="29" spans="1:29" s="106" customFormat="1" ht="17" thickBot="1" x14ac:dyDescent="0.25">
      <c r="A29" s="98" t="s">
        <v>86</v>
      </c>
      <c r="B29" s="99" t="s">
        <v>26</v>
      </c>
      <c r="C29" s="100">
        <v>131.82322224628973</v>
      </c>
      <c r="D29" s="101">
        <v>15250</v>
      </c>
      <c r="E29" s="102"/>
      <c r="F29" s="102">
        <v>124463</v>
      </c>
      <c r="G29" s="102">
        <v>72090</v>
      </c>
      <c r="H29" s="102">
        <v>10258</v>
      </c>
      <c r="I29" s="102">
        <v>2622831</v>
      </c>
      <c r="J29" s="102"/>
      <c r="K29" s="103"/>
      <c r="L29" s="103">
        <f t="shared" si="0"/>
        <v>115.68523163170686</v>
      </c>
      <c r="M29" s="103">
        <f t="shared" si="1"/>
        <v>0</v>
      </c>
      <c r="N29" s="103">
        <f t="shared" si="2"/>
        <v>944.16596620177904</v>
      </c>
      <c r="O29" s="103">
        <f t="shared" si="3"/>
        <v>546.86874415277032</v>
      </c>
      <c r="P29" s="103">
        <f t="shared" si="4"/>
        <v>77.81633482479009</v>
      </c>
      <c r="Q29" s="104">
        <f t="shared" si="5"/>
        <v>19896.577820709594</v>
      </c>
      <c r="R29" s="103"/>
      <c r="S29" s="103"/>
      <c r="T29" s="99">
        <f t="shared" si="7"/>
        <v>2844892</v>
      </c>
      <c r="U29" s="105">
        <f t="shared" si="8"/>
        <v>21581.11409752064</v>
      </c>
      <c r="V29" s="100">
        <f t="shared" ref="V29:AA29" si="34">D29/$T$29*100</f>
        <v>0.53604846862376498</v>
      </c>
      <c r="W29" s="106">
        <f t="shared" si="34"/>
        <v>0</v>
      </c>
      <c r="X29" s="106">
        <f t="shared" si="34"/>
        <v>4.3749639705127645</v>
      </c>
      <c r="Y29" s="106">
        <f t="shared" si="34"/>
        <v>2.5340153510221128</v>
      </c>
      <c r="Z29" s="106">
        <f t="shared" si="34"/>
        <v>0.36057607810771025</v>
      </c>
      <c r="AA29" s="107">
        <f t="shared" si="34"/>
        <v>92.19439613173364</v>
      </c>
      <c r="AC29" s="108"/>
    </row>
    <row r="30" spans="1:29" x14ac:dyDescent="0.2">
      <c r="A30" s="1" t="s">
        <v>88</v>
      </c>
      <c r="B30" s="8" t="s">
        <v>27</v>
      </c>
      <c r="C30" s="13">
        <v>120.13545845490287</v>
      </c>
      <c r="D30" s="29">
        <v>3004880</v>
      </c>
      <c r="E30" s="30">
        <v>72201</v>
      </c>
      <c r="F30" s="30">
        <v>4184</v>
      </c>
      <c r="G30" s="30"/>
      <c r="H30" s="30"/>
      <c r="I30" s="30"/>
      <c r="J30" s="30"/>
      <c r="K30" s="28"/>
      <c r="L30" s="28">
        <f t="shared" si="0"/>
        <v>25012.432121595382</v>
      </c>
      <c r="M30" s="28">
        <f t="shared" si="1"/>
        <v>600.99658276247578</v>
      </c>
      <c r="N30" s="28">
        <f t="shared" si="2"/>
        <v>34.827352838301387</v>
      </c>
      <c r="O30" s="28">
        <f t="shared" si="3"/>
        <v>0</v>
      </c>
      <c r="P30" s="28">
        <f t="shared" si="4"/>
        <v>0</v>
      </c>
      <c r="Q30" s="42">
        <f t="shared" si="5"/>
        <v>0</v>
      </c>
      <c r="R30" s="28"/>
      <c r="S30" s="28"/>
      <c r="T30" s="8">
        <f t="shared" si="7"/>
        <v>3081265</v>
      </c>
      <c r="U30" s="43">
        <f t="shared" si="8"/>
        <v>25648.256057196159</v>
      </c>
      <c r="V30" s="13">
        <f t="shared" ref="V30:AA30" si="35">D30/$T$30*100</f>
        <v>97.520985699055416</v>
      </c>
      <c r="W30" s="4">
        <f t="shared" si="35"/>
        <v>2.3432259153302293</v>
      </c>
      <c r="X30" s="4">
        <f t="shared" si="35"/>
        <v>0.13578838561434994</v>
      </c>
      <c r="Y30" s="4">
        <f t="shared" si="35"/>
        <v>0</v>
      </c>
      <c r="Z30" s="4">
        <f t="shared" si="35"/>
        <v>0</v>
      </c>
      <c r="AA30" s="48">
        <f t="shared" si="35"/>
        <v>0</v>
      </c>
      <c r="AC30" s="14"/>
    </row>
    <row r="31" spans="1:29" x14ac:dyDescent="0.2">
      <c r="A31" s="1" t="s">
        <v>90</v>
      </c>
      <c r="B31" s="8" t="s">
        <v>28</v>
      </c>
      <c r="C31" s="13">
        <v>133.6306416614492</v>
      </c>
      <c r="D31" s="29">
        <v>2863452</v>
      </c>
      <c r="E31" s="30">
        <v>101285</v>
      </c>
      <c r="F31" s="30"/>
      <c r="G31" s="30"/>
      <c r="H31" s="30"/>
      <c r="I31" s="30"/>
      <c r="J31" s="30"/>
      <c r="K31" s="28"/>
      <c r="L31" s="28">
        <f t="shared" si="0"/>
        <v>21428.109334792414</v>
      </c>
      <c r="M31" s="28">
        <f t="shared" si="1"/>
        <v>757.9474193995394</v>
      </c>
      <c r="N31" s="28">
        <f t="shared" si="2"/>
        <v>0</v>
      </c>
      <c r="O31" s="28">
        <f t="shared" si="3"/>
        <v>0</v>
      </c>
      <c r="P31" s="28">
        <f t="shared" si="4"/>
        <v>0</v>
      </c>
      <c r="Q31" s="42">
        <f t="shared" si="5"/>
        <v>0</v>
      </c>
      <c r="R31" s="28"/>
      <c r="S31" s="28"/>
      <c r="T31" s="8">
        <f t="shared" si="7"/>
        <v>2964737</v>
      </c>
      <c r="U31" s="43">
        <f t="shared" si="8"/>
        <v>22186.056754191955</v>
      </c>
      <c r="V31" s="13">
        <f t="shared" ref="V31:AA31" si="36">D31/$T$31*100</f>
        <v>96.583676730853369</v>
      </c>
      <c r="W31" s="4">
        <f t="shared" si="36"/>
        <v>3.4163232691466394</v>
      </c>
      <c r="X31" s="4">
        <f t="shared" si="36"/>
        <v>0</v>
      </c>
      <c r="Y31" s="4">
        <f t="shared" si="36"/>
        <v>0</v>
      </c>
      <c r="Z31" s="4">
        <f t="shared" si="36"/>
        <v>0</v>
      </c>
      <c r="AA31" s="48">
        <f t="shared" si="36"/>
        <v>0</v>
      </c>
      <c r="AC31" s="14"/>
    </row>
    <row r="32" spans="1:29" x14ac:dyDescent="0.2">
      <c r="A32" s="1" t="s">
        <v>92</v>
      </c>
      <c r="B32" s="8" t="s">
        <v>29</v>
      </c>
      <c r="C32" s="13">
        <v>89.665815943679206</v>
      </c>
      <c r="D32" s="29">
        <v>3531222</v>
      </c>
      <c r="E32" s="30">
        <v>65845</v>
      </c>
      <c r="F32" s="30"/>
      <c r="G32" s="30"/>
      <c r="H32" s="30"/>
      <c r="I32" s="30"/>
      <c r="J32" s="30"/>
      <c r="K32" s="28"/>
      <c r="L32" s="28">
        <f t="shared" si="0"/>
        <v>39382.031634196326</v>
      </c>
      <c r="M32" s="28">
        <f t="shared" si="1"/>
        <v>734.33782213456345</v>
      </c>
      <c r="N32" s="28">
        <f t="shared" si="2"/>
        <v>0</v>
      </c>
      <c r="O32" s="28">
        <f t="shared" si="3"/>
        <v>0</v>
      </c>
      <c r="P32" s="28">
        <f t="shared" si="4"/>
        <v>0</v>
      </c>
      <c r="Q32" s="42">
        <f t="shared" si="5"/>
        <v>0</v>
      </c>
      <c r="R32" s="28"/>
      <c r="S32" s="28"/>
      <c r="T32" s="8">
        <f t="shared" si="7"/>
        <v>3597067</v>
      </c>
      <c r="U32" s="43">
        <f t="shared" si="8"/>
        <v>40116.369456330889</v>
      </c>
      <c r="V32" s="13">
        <f t="shared" ref="V32:AA32" si="37">D32/$T$32*100</f>
        <v>98.1694808575987</v>
      </c>
      <c r="W32" s="4">
        <f t="shared" si="37"/>
        <v>1.8305191424012952</v>
      </c>
      <c r="X32" s="4">
        <f t="shared" si="37"/>
        <v>0</v>
      </c>
      <c r="Y32" s="4">
        <f t="shared" si="37"/>
        <v>0</v>
      </c>
      <c r="Z32" s="4">
        <f t="shared" si="37"/>
        <v>0</v>
      </c>
      <c r="AA32" s="48">
        <f t="shared" si="37"/>
        <v>0</v>
      </c>
      <c r="AC32" s="14"/>
    </row>
    <row r="33" spans="1:29" x14ac:dyDescent="0.2">
      <c r="A33" s="1" t="s">
        <v>94</v>
      </c>
      <c r="B33" s="8" t="s">
        <v>30</v>
      </c>
      <c r="C33" s="13">
        <v>117.18257637794109</v>
      </c>
      <c r="D33" s="29">
        <v>439507</v>
      </c>
      <c r="E33" s="30">
        <v>5083</v>
      </c>
      <c r="F33" s="30">
        <v>146884</v>
      </c>
      <c r="G33" s="30">
        <v>131970</v>
      </c>
      <c r="H33" s="30">
        <v>34129</v>
      </c>
      <c r="I33" s="30">
        <v>2542345</v>
      </c>
      <c r="J33" s="30"/>
      <c r="K33" s="28"/>
      <c r="L33" s="28">
        <f t="shared" si="0"/>
        <v>3750.6173151756589</v>
      </c>
      <c r="M33" s="28">
        <f t="shared" si="1"/>
        <v>43.376755803748004</v>
      </c>
      <c r="N33" s="28">
        <f t="shared" si="2"/>
        <v>1253.4627974577459</v>
      </c>
      <c r="O33" s="28">
        <f t="shared" si="3"/>
        <v>1126.1913168248327</v>
      </c>
      <c r="P33" s="28">
        <f t="shared" si="4"/>
        <v>291.24637002284391</v>
      </c>
      <c r="Q33" s="42">
        <f t="shared" si="5"/>
        <v>21695.588871508895</v>
      </c>
      <c r="R33" s="28"/>
      <c r="S33" s="28"/>
      <c r="T33" s="8">
        <f t="shared" si="7"/>
        <v>3299918</v>
      </c>
      <c r="U33" s="43">
        <f t="shared" si="8"/>
        <v>28160.483426793726</v>
      </c>
      <c r="V33" s="13">
        <f t="shared" ref="V33:AA33" si="38">D33/$T$33*100</f>
        <v>13.318724889527559</v>
      </c>
      <c r="W33" s="4">
        <f t="shared" si="38"/>
        <v>0.15403413054506204</v>
      </c>
      <c r="X33" s="4">
        <f t="shared" si="38"/>
        <v>4.4511409071376926</v>
      </c>
      <c r="Y33" s="4">
        <f t="shared" si="38"/>
        <v>3.9991902829100603</v>
      </c>
      <c r="Z33" s="4">
        <f t="shared" si="38"/>
        <v>1.0342378204549325</v>
      </c>
      <c r="AA33" s="48">
        <f t="shared" si="38"/>
        <v>77.042671969424688</v>
      </c>
      <c r="AC33" s="14"/>
    </row>
    <row r="34" spans="1:29" x14ac:dyDescent="0.2">
      <c r="A34" s="1" t="s">
        <v>96</v>
      </c>
      <c r="B34" s="8" t="s">
        <v>31</v>
      </c>
      <c r="C34" s="13">
        <v>93.866959001563146</v>
      </c>
      <c r="D34" s="29">
        <v>413876</v>
      </c>
      <c r="E34" s="30"/>
      <c r="F34" s="30">
        <v>136972</v>
      </c>
      <c r="G34" s="30">
        <v>91108</v>
      </c>
      <c r="H34" s="30">
        <v>28635</v>
      </c>
      <c r="I34" s="30">
        <v>2039811</v>
      </c>
      <c r="J34" s="30"/>
      <c r="K34" s="28"/>
      <c r="L34" s="28">
        <f t="shared" si="0"/>
        <v>4409.1766091315239</v>
      </c>
      <c r="M34" s="28">
        <f t="shared" si="1"/>
        <v>0</v>
      </c>
      <c r="N34" s="28">
        <f t="shared" si="2"/>
        <v>1459.2142054769138</v>
      </c>
      <c r="O34" s="28">
        <f t="shared" si="3"/>
        <v>970.60777262937427</v>
      </c>
      <c r="P34" s="28">
        <f t="shared" si="4"/>
        <v>305.05941925233935</v>
      </c>
      <c r="Q34" s="42">
        <f t="shared" si="5"/>
        <v>21730.873373303075</v>
      </c>
      <c r="R34" s="28"/>
      <c r="S34" s="28"/>
      <c r="T34" s="8">
        <f t="shared" si="7"/>
        <v>2710402</v>
      </c>
      <c r="U34" s="43">
        <f t="shared" si="8"/>
        <v>28874.931379793226</v>
      </c>
      <c r="V34" s="13">
        <f t="shared" ref="V34:AA34" si="39">D34/$T$34*100</f>
        <v>15.269911990915</v>
      </c>
      <c r="W34" s="4">
        <f t="shared" si="39"/>
        <v>0</v>
      </c>
      <c r="X34" s="4">
        <f t="shared" si="39"/>
        <v>5.0535676995515795</v>
      </c>
      <c r="Y34" s="4">
        <f t="shared" si="39"/>
        <v>3.3614201878540531</v>
      </c>
      <c r="Z34" s="4">
        <f t="shared" si="39"/>
        <v>1.0564853479299381</v>
      </c>
      <c r="AA34" s="48">
        <f t="shared" si="39"/>
        <v>75.258614773749429</v>
      </c>
      <c r="AC34" s="14"/>
    </row>
    <row r="35" spans="1:29" ht="16" thickBot="1" x14ac:dyDescent="0.25">
      <c r="A35" s="1" t="s">
        <v>98</v>
      </c>
      <c r="B35" s="8" t="s">
        <v>32</v>
      </c>
      <c r="C35" s="13">
        <v>124.3878226689603</v>
      </c>
      <c r="D35" s="29">
        <v>334559</v>
      </c>
      <c r="E35" s="30"/>
      <c r="F35" s="30">
        <v>123022</v>
      </c>
      <c r="G35" s="30">
        <v>95134</v>
      </c>
      <c r="H35" s="30">
        <v>21682</v>
      </c>
      <c r="I35" s="30">
        <v>2002919</v>
      </c>
      <c r="J35" s="30"/>
      <c r="K35" s="28"/>
      <c r="L35" s="28">
        <f t="shared" si="0"/>
        <v>2689.6443142218113</v>
      </c>
      <c r="M35" s="28">
        <f t="shared" si="1"/>
        <v>0</v>
      </c>
      <c r="N35" s="28">
        <f t="shared" si="2"/>
        <v>989.01964324437745</v>
      </c>
      <c r="O35" s="28">
        <f t="shared" si="3"/>
        <v>764.81763213417605</v>
      </c>
      <c r="P35" s="28">
        <f t="shared" si="4"/>
        <v>174.30966741578411</v>
      </c>
      <c r="Q35" s="42">
        <f t="shared" si="5"/>
        <v>16102.211269751631</v>
      </c>
      <c r="R35" s="28"/>
      <c r="S35" s="28"/>
      <c r="T35" s="8">
        <f t="shared" si="7"/>
        <v>2577316</v>
      </c>
      <c r="U35" s="43">
        <f t="shared" si="8"/>
        <v>20720.002526767781</v>
      </c>
      <c r="V35" s="13">
        <f t="shared" ref="V35:AA35" si="40">D35/$T$35*100</f>
        <v>12.98090726942292</v>
      </c>
      <c r="W35" s="4">
        <f t="shared" si="40"/>
        <v>0</v>
      </c>
      <c r="X35" s="4">
        <f t="shared" si="40"/>
        <v>4.7732602443782604</v>
      </c>
      <c r="Y35" s="4">
        <f t="shared" si="40"/>
        <v>3.6912043381564388</v>
      </c>
      <c r="Z35" s="4">
        <f t="shared" si="40"/>
        <v>0.84126277103777725</v>
      </c>
      <c r="AA35" s="48">
        <f t="shared" si="40"/>
        <v>77.713365377004607</v>
      </c>
      <c r="AC35" s="14"/>
    </row>
    <row r="36" spans="1:29" x14ac:dyDescent="0.2">
      <c r="A36" s="109" t="s">
        <v>100</v>
      </c>
      <c r="B36" s="8" t="s">
        <v>33</v>
      </c>
      <c r="C36" s="13">
        <v>116.31998434140461</v>
      </c>
      <c r="D36" s="29">
        <v>5490</v>
      </c>
      <c r="E36" s="30"/>
      <c r="F36" s="30">
        <v>71142</v>
      </c>
      <c r="G36" s="30">
        <v>53399</v>
      </c>
      <c r="H36" s="30">
        <v>24331</v>
      </c>
      <c r="I36" s="30">
        <v>2538840</v>
      </c>
      <c r="J36" s="30"/>
      <c r="K36" s="28"/>
      <c r="L36" s="28">
        <f t="shared" si="0"/>
        <v>47.197392873494486</v>
      </c>
      <c r="M36" s="28">
        <f t="shared" si="1"/>
        <v>0</v>
      </c>
      <c r="N36" s="28">
        <f t="shared" si="2"/>
        <v>611.60599705029961</v>
      </c>
      <c r="O36" s="28">
        <f t="shared" si="3"/>
        <v>459.06986922618069</v>
      </c>
      <c r="P36" s="28">
        <f t="shared" si="4"/>
        <v>209.17299927231227</v>
      </c>
      <c r="Q36" s="42">
        <f t="shared" si="5"/>
        <v>21826.344066109788</v>
      </c>
      <c r="R36" s="28"/>
      <c r="S36" s="28"/>
      <c r="T36" s="8">
        <f t="shared" si="7"/>
        <v>2693202</v>
      </c>
      <c r="U36" s="43">
        <f t="shared" si="8"/>
        <v>23153.390324532076</v>
      </c>
      <c r="V36" s="13">
        <f t="shared" ref="V36:AA36" si="41">D36/$T$36*100</f>
        <v>0.20384657370668816</v>
      </c>
      <c r="W36" s="4">
        <f t="shared" si="41"/>
        <v>0</v>
      </c>
      <c r="X36" s="4">
        <f t="shared" si="41"/>
        <v>2.6415396988417505</v>
      </c>
      <c r="Y36" s="4">
        <f t="shared" si="41"/>
        <v>1.9827328213776763</v>
      </c>
      <c r="Z36" s="4">
        <f t="shared" si="41"/>
        <v>0.90342276591210013</v>
      </c>
      <c r="AA36" s="48">
        <f t="shared" si="41"/>
        <v>94.268458140161783</v>
      </c>
      <c r="AC36" s="14"/>
    </row>
    <row r="37" spans="1:29" x14ac:dyDescent="0.2">
      <c r="A37" s="110" t="s">
        <v>102</v>
      </c>
      <c r="B37" s="8" t="s">
        <v>34</v>
      </c>
      <c r="C37" s="13">
        <v>75.56969360035805</v>
      </c>
      <c r="D37" s="29">
        <v>13076</v>
      </c>
      <c r="E37" s="30"/>
      <c r="F37" s="30">
        <v>108049</v>
      </c>
      <c r="G37" s="30">
        <v>34795</v>
      </c>
      <c r="H37" s="30">
        <v>31916</v>
      </c>
      <c r="I37" s="30">
        <v>2082463</v>
      </c>
      <c r="J37" s="30"/>
      <c r="K37" s="28"/>
      <c r="L37" s="28">
        <f t="shared" si="0"/>
        <v>173.0323278687747</v>
      </c>
      <c r="M37" s="28">
        <f t="shared" si="1"/>
        <v>0</v>
      </c>
      <c r="N37" s="28">
        <f t="shared" si="2"/>
        <v>1429.7927496094553</v>
      </c>
      <c r="O37" s="28">
        <f t="shared" si="3"/>
        <v>460.43590151376691</v>
      </c>
      <c r="P37" s="28">
        <f t="shared" si="4"/>
        <v>422.33861855764866</v>
      </c>
      <c r="Q37" s="42">
        <f t="shared" si="5"/>
        <v>27556.853823079855</v>
      </c>
      <c r="R37" s="28"/>
      <c r="S37" s="28"/>
      <c r="T37" s="8">
        <f t="shared" si="7"/>
        <v>2270299</v>
      </c>
      <c r="U37" s="43">
        <f t="shared" si="8"/>
        <v>30042.453420629499</v>
      </c>
      <c r="V37" s="13">
        <f t="shared" ref="V37:AA37" si="42">D37/$T$37*100</f>
        <v>0.57595937803787078</v>
      </c>
      <c r="W37" s="4">
        <f t="shared" si="42"/>
        <v>0</v>
      </c>
      <c r="X37" s="4">
        <f t="shared" si="42"/>
        <v>4.7592409634149515</v>
      </c>
      <c r="Y37" s="4">
        <f t="shared" si="42"/>
        <v>1.5326175098522266</v>
      </c>
      <c r="Z37" s="4">
        <f t="shared" si="42"/>
        <v>1.4058060193833499</v>
      </c>
      <c r="AA37" s="48">
        <f t="shared" si="42"/>
        <v>91.726376129311603</v>
      </c>
      <c r="AC37" s="14"/>
    </row>
    <row r="38" spans="1:29" ht="16" thickBot="1" x14ac:dyDescent="0.25">
      <c r="A38" s="111" t="s">
        <v>104</v>
      </c>
      <c r="B38" s="9" t="s">
        <v>35</v>
      </c>
      <c r="C38" s="15">
        <v>99.747880680763927</v>
      </c>
      <c r="D38" s="31">
        <v>24698</v>
      </c>
      <c r="E38" s="32"/>
      <c r="F38" s="32">
        <v>99245</v>
      </c>
      <c r="G38" s="32">
        <v>93077</v>
      </c>
      <c r="H38" s="32">
        <v>13878</v>
      </c>
      <c r="I38" s="32">
        <v>2462191</v>
      </c>
      <c r="J38" s="32"/>
      <c r="K38" s="33"/>
      <c r="L38" s="28">
        <f t="shared" si="0"/>
        <v>247.60425817009798</v>
      </c>
      <c r="M38" s="28">
        <f t="shared" si="1"/>
        <v>0</v>
      </c>
      <c r="N38" s="28">
        <f t="shared" si="2"/>
        <v>994.95848255289388</v>
      </c>
      <c r="O38" s="28">
        <f t="shared" si="3"/>
        <v>933.1225823021382</v>
      </c>
      <c r="P38" s="28">
        <f t="shared" si="4"/>
        <v>139.13077556420032</v>
      </c>
      <c r="Q38" s="42">
        <f t="shared" si="5"/>
        <v>24684.143494537682</v>
      </c>
      <c r="R38" s="28"/>
      <c r="S38" s="28"/>
      <c r="T38" s="9">
        <f t="shared" si="7"/>
        <v>2693089</v>
      </c>
      <c r="U38" s="43">
        <f t="shared" si="8"/>
        <v>26998.959593127012</v>
      </c>
      <c r="V38" s="15">
        <f t="shared" ref="V38:AA38" si="43">D38/$T$38*100</f>
        <v>0.91708814673410344</v>
      </c>
      <c r="W38" s="16">
        <f t="shared" si="43"/>
        <v>0</v>
      </c>
      <c r="X38" s="16">
        <f t="shared" si="43"/>
        <v>3.6851734198164268</v>
      </c>
      <c r="Y38" s="16">
        <f t="shared" si="43"/>
        <v>3.456142741662084</v>
      </c>
      <c r="Z38" s="16">
        <f t="shared" si="43"/>
        <v>0.51531902584727052</v>
      </c>
      <c r="AA38" s="49">
        <f t="shared" si="43"/>
        <v>91.426276665940122</v>
      </c>
      <c r="AB38" s="16"/>
      <c r="AC38" s="17"/>
    </row>
  </sheetData>
  <mergeCells count="7">
    <mergeCell ref="V1:AC1"/>
    <mergeCell ref="U1:U2"/>
    <mergeCell ref="A1:B2"/>
    <mergeCell ref="C1:C2"/>
    <mergeCell ref="D1:K1"/>
    <mergeCell ref="L1:S1"/>
    <mergeCell ref="T1:T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AC38"/>
  <sheetViews>
    <sheetView showGridLines="0" workbookViewId="0">
      <pane xSplit="2" topLeftCell="C1" activePane="topRight" state="frozen"/>
      <selection pane="topRight" activeCell="J21" sqref="J21"/>
    </sheetView>
  </sheetViews>
  <sheetFormatPr baseColWidth="10" defaultColWidth="8.6640625" defaultRowHeight="15" x14ac:dyDescent="0.2"/>
  <cols>
    <col min="1" max="1" width="21.33203125" style="50" bestFit="1" customWidth="1"/>
    <col min="2" max="2" width="9.33203125" style="4" bestFit="1" customWidth="1"/>
    <col min="3" max="3" width="6.83203125" style="4" bestFit="1" customWidth="1"/>
    <col min="4" max="11" width="4.5" style="4" bestFit="1" customWidth="1"/>
    <col min="12" max="16" width="8.33203125" style="4" bestFit="1" customWidth="1"/>
    <col min="17" max="19" width="4.5" style="4" bestFit="1" customWidth="1"/>
    <col min="20" max="20" width="14.1640625" style="4" bestFit="1" customWidth="1"/>
    <col min="21" max="21" width="21.6640625" style="4" bestFit="1" customWidth="1"/>
    <col min="22" max="25" width="7.1640625" style="4" bestFit="1" customWidth="1"/>
    <col min="26" max="29" width="4.5" style="4" bestFit="1" customWidth="1"/>
    <col min="30" max="16384" width="8.6640625" style="4"/>
  </cols>
  <sheetData>
    <row r="1" spans="1:29" x14ac:dyDescent="0.2">
      <c r="A1" s="121" t="s">
        <v>56</v>
      </c>
      <c r="B1" s="122"/>
      <c r="C1" s="125" t="s">
        <v>48</v>
      </c>
      <c r="D1" s="127" t="s">
        <v>46</v>
      </c>
      <c r="E1" s="127"/>
      <c r="F1" s="127"/>
      <c r="G1" s="127"/>
      <c r="H1" s="127"/>
      <c r="I1" s="127"/>
      <c r="J1" s="127"/>
      <c r="K1" s="127"/>
      <c r="L1" s="128" t="s">
        <v>49</v>
      </c>
      <c r="M1" s="129"/>
      <c r="N1" s="129"/>
      <c r="O1" s="129"/>
      <c r="P1" s="129"/>
      <c r="Q1" s="129"/>
      <c r="R1" s="129"/>
      <c r="S1" s="130"/>
      <c r="T1" s="119" t="s">
        <v>45</v>
      </c>
      <c r="U1" s="119" t="s">
        <v>141</v>
      </c>
      <c r="V1" s="117" t="s">
        <v>47</v>
      </c>
      <c r="W1" s="117"/>
      <c r="X1" s="117"/>
      <c r="Y1" s="117"/>
      <c r="Z1" s="117"/>
      <c r="AA1" s="117"/>
      <c r="AB1" s="117"/>
      <c r="AC1" s="118"/>
    </row>
    <row r="2" spans="1:29" x14ac:dyDescent="0.2">
      <c r="A2" s="123"/>
      <c r="B2" s="124"/>
      <c r="C2" s="126"/>
      <c r="D2" s="5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7" t="s">
        <v>43</v>
      </c>
      <c r="L2" s="5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7" t="s">
        <v>43</v>
      </c>
      <c r="T2" s="120"/>
      <c r="U2" s="120"/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  <c r="AB2" s="6" t="s">
        <v>42</v>
      </c>
      <c r="AC2" s="7" t="s">
        <v>43</v>
      </c>
    </row>
    <row r="3" spans="1:29" x14ac:dyDescent="0.2">
      <c r="A3" s="51" t="s">
        <v>70</v>
      </c>
      <c r="B3" s="8" t="s">
        <v>0</v>
      </c>
      <c r="C3" s="13">
        <v>151.61856590318203</v>
      </c>
      <c r="D3" s="25"/>
      <c r="E3" s="26"/>
      <c r="F3" s="26"/>
      <c r="G3" s="26"/>
      <c r="H3" s="26"/>
      <c r="I3" s="26"/>
      <c r="J3" s="26"/>
      <c r="K3" s="27"/>
      <c r="L3" s="28">
        <f t="shared" ref="L3:L38" si="0">D3/$C3</f>
        <v>0</v>
      </c>
      <c r="M3" s="28">
        <f t="shared" ref="M3:M38" si="1">E3/$C3</f>
        <v>0</v>
      </c>
      <c r="N3" s="28">
        <f t="shared" ref="N3:N38" si="2">F3/$C3</f>
        <v>0</v>
      </c>
      <c r="O3" s="28">
        <f t="shared" ref="O3:O38" si="3">G3/$C3</f>
        <v>0</v>
      </c>
      <c r="P3" s="42">
        <f t="shared" ref="P3:P38" si="4">H3/$C3</f>
        <v>0</v>
      </c>
      <c r="Q3" s="28"/>
      <c r="R3" s="28"/>
      <c r="S3" s="28"/>
      <c r="T3" s="8">
        <f>SUM(D3:K3)</f>
        <v>0</v>
      </c>
      <c r="U3" s="43">
        <f>SUM(L3:S3)</f>
        <v>0</v>
      </c>
      <c r="V3" s="10" t="e">
        <f>D3/$T$3*100</f>
        <v>#DIV/0!</v>
      </c>
      <c r="W3" s="11" t="e">
        <f>E3/$T$3*100</f>
        <v>#DIV/0!</v>
      </c>
      <c r="X3" s="11" t="e">
        <f>F3/$T$3*100</f>
        <v>#DIV/0!</v>
      </c>
      <c r="Y3" s="47" t="e">
        <f>G3/$T$3*100</f>
        <v>#DIV/0!</v>
      </c>
      <c r="Z3" s="11"/>
      <c r="AA3" s="11"/>
      <c r="AB3" s="11"/>
      <c r="AC3" s="12"/>
    </row>
    <row r="4" spans="1:29" x14ac:dyDescent="0.2">
      <c r="A4" s="1" t="s">
        <v>72</v>
      </c>
      <c r="B4" s="8" t="s">
        <v>1</v>
      </c>
      <c r="C4" s="13">
        <v>144.60827361219867</v>
      </c>
      <c r="D4" s="29"/>
      <c r="E4" s="30"/>
      <c r="F4" s="30"/>
      <c r="G4" s="30"/>
      <c r="H4" s="30"/>
      <c r="I4" s="30"/>
      <c r="J4" s="30"/>
      <c r="K4" s="28"/>
      <c r="L4" s="28">
        <f t="shared" si="0"/>
        <v>0</v>
      </c>
      <c r="M4" s="28">
        <f t="shared" si="1"/>
        <v>0</v>
      </c>
      <c r="N4" s="28">
        <f t="shared" si="2"/>
        <v>0</v>
      </c>
      <c r="O4" s="28">
        <f t="shared" si="3"/>
        <v>0</v>
      </c>
      <c r="P4" s="42">
        <f t="shared" si="4"/>
        <v>0</v>
      </c>
      <c r="Q4" s="28"/>
      <c r="R4" s="28"/>
      <c r="S4" s="28"/>
      <c r="T4" s="8">
        <f t="shared" ref="T4:T38" si="5">SUM(D4:K4)</f>
        <v>0</v>
      </c>
      <c r="U4" s="43">
        <f t="shared" ref="U4:U38" si="6">SUM(L4:S4)</f>
        <v>0</v>
      </c>
      <c r="V4" s="13" t="e">
        <f>D4/$T$4*100</f>
        <v>#DIV/0!</v>
      </c>
      <c r="W4" s="4" t="e">
        <f>E4/$T$4*100</f>
        <v>#DIV/0!</v>
      </c>
      <c r="X4" s="4" t="e">
        <f>F4/$T$4*100</f>
        <v>#DIV/0!</v>
      </c>
      <c r="Y4" s="48" t="e">
        <f>G4/$T$4*100</f>
        <v>#DIV/0!</v>
      </c>
      <c r="AC4" s="14"/>
    </row>
    <row r="5" spans="1:29" ht="16" x14ac:dyDescent="0.2">
      <c r="A5" s="52" t="s">
        <v>74</v>
      </c>
      <c r="B5" s="8" t="s">
        <v>2</v>
      </c>
      <c r="C5" s="13">
        <v>126.18510720293932</v>
      </c>
      <c r="D5" s="29"/>
      <c r="E5" s="30"/>
      <c r="F5" s="30"/>
      <c r="G5" s="30"/>
      <c r="H5" s="30"/>
      <c r="I5" s="30"/>
      <c r="J5" s="30"/>
      <c r="K5" s="28"/>
      <c r="L5" s="28">
        <f t="shared" si="0"/>
        <v>0</v>
      </c>
      <c r="M5" s="28">
        <f t="shared" si="1"/>
        <v>0</v>
      </c>
      <c r="N5" s="28">
        <f t="shared" si="2"/>
        <v>0</v>
      </c>
      <c r="O5" s="28">
        <f t="shared" si="3"/>
        <v>0</v>
      </c>
      <c r="P5" s="42">
        <f t="shared" si="4"/>
        <v>0</v>
      </c>
      <c r="Q5" s="28"/>
      <c r="R5" s="28"/>
      <c r="S5" s="28"/>
      <c r="T5" s="8">
        <f t="shared" si="5"/>
        <v>0</v>
      </c>
      <c r="U5" s="43">
        <f t="shared" si="6"/>
        <v>0</v>
      </c>
      <c r="V5" s="13" t="e">
        <f>D5/$T$5*100</f>
        <v>#DIV/0!</v>
      </c>
      <c r="W5" s="4" t="e">
        <f>E5/$T$5*100</f>
        <v>#DIV/0!</v>
      </c>
      <c r="X5" s="4" t="e">
        <f>F5/$T$5*100</f>
        <v>#DIV/0!</v>
      </c>
      <c r="Y5" s="48" t="e">
        <f>G5/$T$5*100</f>
        <v>#DIV/0!</v>
      </c>
      <c r="AC5" s="14"/>
    </row>
    <row r="6" spans="1:29" ht="16" x14ac:dyDescent="0.2">
      <c r="A6" s="52" t="s">
        <v>76</v>
      </c>
      <c r="B6" s="8" t="s">
        <v>3</v>
      </c>
      <c r="C6" s="13">
        <v>139.22341121667353</v>
      </c>
      <c r="D6" s="29"/>
      <c r="E6" s="30"/>
      <c r="F6" s="30"/>
      <c r="G6" s="30"/>
      <c r="H6" s="30"/>
      <c r="I6" s="30"/>
      <c r="J6" s="30"/>
      <c r="K6" s="28"/>
      <c r="L6" s="28">
        <f t="shared" si="0"/>
        <v>0</v>
      </c>
      <c r="M6" s="28">
        <f t="shared" si="1"/>
        <v>0</v>
      </c>
      <c r="N6" s="28">
        <f t="shared" si="2"/>
        <v>0</v>
      </c>
      <c r="O6" s="28">
        <f t="shared" si="3"/>
        <v>0</v>
      </c>
      <c r="P6" s="42">
        <f t="shared" si="4"/>
        <v>0</v>
      </c>
      <c r="Q6" s="28"/>
      <c r="R6" s="28"/>
      <c r="S6" s="28"/>
      <c r="T6" s="8">
        <f t="shared" si="5"/>
        <v>0</v>
      </c>
      <c r="U6" s="43">
        <f t="shared" si="6"/>
        <v>0</v>
      </c>
      <c r="V6" s="13" t="e">
        <f>D6/$T$6*100</f>
        <v>#DIV/0!</v>
      </c>
      <c r="W6" s="4" t="e">
        <f>E6/$T$6*100</f>
        <v>#DIV/0!</v>
      </c>
      <c r="X6" s="4" t="e">
        <f>F6/$T$6*100</f>
        <v>#DIV/0!</v>
      </c>
      <c r="Y6" s="48" t="e">
        <f>G6/$T$6*100</f>
        <v>#DIV/0!</v>
      </c>
      <c r="AC6" s="14"/>
    </row>
    <row r="7" spans="1:29" ht="16" x14ac:dyDescent="0.2">
      <c r="A7" s="52" t="s">
        <v>78</v>
      </c>
      <c r="B7" s="8" t="s">
        <v>4</v>
      </c>
      <c r="C7" s="13">
        <v>151.90975415986941</v>
      </c>
      <c r="D7" s="29"/>
      <c r="E7" s="30"/>
      <c r="F7" s="30"/>
      <c r="G7" s="30"/>
      <c r="H7" s="30"/>
      <c r="I7" s="30"/>
      <c r="J7" s="30"/>
      <c r="K7" s="28"/>
      <c r="L7" s="28">
        <f t="shared" si="0"/>
        <v>0</v>
      </c>
      <c r="M7" s="28">
        <f t="shared" si="1"/>
        <v>0</v>
      </c>
      <c r="N7" s="28">
        <f t="shared" si="2"/>
        <v>0</v>
      </c>
      <c r="O7" s="28">
        <f t="shared" si="3"/>
        <v>0</v>
      </c>
      <c r="P7" s="42">
        <f t="shared" si="4"/>
        <v>0</v>
      </c>
      <c r="Q7" s="28"/>
      <c r="R7" s="28"/>
      <c r="S7" s="28"/>
      <c r="T7" s="8">
        <f t="shared" si="5"/>
        <v>0</v>
      </c>
      <c r="U7" s="43">
        <f t="shared" si="6"/>
        <v>0</v>
      </c>
      <c r="V7" s="13" t="e">
        <f>D7/$T$7*100</f>
        <v>#DIV/0!</v>
      </c>
      <c r="W7" s="4" t="e">
        <f>E7/$T$7*100</f>
        <v>#DIV/0!</v>
      </c>
      <c r="X7" s="4" t="e">
        <f>F7/$T$7*100</f>
        <v>#DIV/0!</v>
      </c>
      <c r="Y7" s="48" t="e">
        <f>G7/$T$7*100</f>
        <v>#DIV/0!</v>
      </c>
      <c r="AC7" s="14"/>
    </row>
    <row r="8" spans="1:29" ht="16" x14ac:dyDescent="0.2">
      <c r="A8" s="52" t="s">
        <v>80</v>
      </c>
      <c r="B8" s="8" t="s">
        <v>5</v>
      </c>
      <c r="C8" s="13">
        <v>108.99908875208385</v>
      </c>
      <c r="D8" s="29"/>
      <c r="E8" s="30"/>
      <c r="F8" s="30"/>
      <c r="G8" s="30"/>
      <c r="H8" s="30"/>
      <c r="I8" s="30"/>
      <c r="J8" s="30"/>
      <c r="K8" s="28"/>
      <c r="L8" s="28">
        <f t="shared" si="0"/>
        <v>0</v>
      </c>
      <c r="M8" s="28">
        <f t="shared" si="1"/>
        <v>0</v>
      </c>
      <c r="N8" s="28">
        <f t="shared" si="2"/>
        <v>0</v>
      </c>
      <c r="O8" s="28">
        <f t="shared" si="3"/>
        <v>0</v>
      </c>
      <c r="P8" s="42">
        <f t="shared" si="4"/>
        <v>0</v>
      </c>
      <c r="Q8" s="28"/>
      <c r="R8" s="28"/>
      <c r="S8" s="28"/>
      <c r="T8" s="8">
        <f t="shared" si="5"/>
        <v>0</v>
      </c>
      <c r="U8" s="43">
        <f t="shared" si="6"/>
        <v>0</v>
      </c>
      <c r="V8" s="13" t="e">
        <f>D8/$T$8*100</f>
        <v>#DIV/0!</v>
      </c>
      <c r="W8" s="4" t="e">
        <f>E8/$T$8*100</f>
        <v>#DIV/0!</v>
      </c>
      <c r="X8" s="4" t="e">
        <f>F8/$T$8*100</f>
        <v>#DIV/0!</v>
      </c>
      <c r="Y8" s="48" t="e">
        <f>G8/$T$8*100</f>
        <v>#DIV/0!</v>
      </c>
      <c r="AC8" s="14"/>
    </row>
    <row r="9" spans="1:29" x14ac:dyDescent="0.2">
      <c r="A9" s="1" t="s">
        <v>82</v>
      </c>
      <c r="B9" s="8" t="s">
        <v>6</v>
      </c>
      <c r="C9" s="13">
        <v>156.73380954252787</v>
      </c>
      <c r="D9" s="29"/>
      <c r="E9" s="30"/>
      <c r="F9" s="30"/>
      <c r="G9" s="30"/>
      <c r="H9" s="30"/>
      <c r="I9" s="30"/>
      <c r="J9" s="30"/>
      <c r="K9" s="28"/>
      <c r="L9" s="28">
        <f t="shared" si="0"/>
        <v>0</v>
      </c>
      <c r="M9" s="28">
        <f t="shared" si="1"/>
        <v>0</v>
      </c>
      <c r="N9" s="28">
        <f t="shared" si="2"/>
        <v>0</v>
      </c>
      <c r="O9" s="28">
        <f t="shared" si="3"/>
        <v>0</v>
      </c>
      <c r="P9" s="42">
        <f t="shared" si="4"/>
        <v>0</v>
      </c>
      <c r="Q9" s="28"/>
      <c r="R9" s="28"/>
      <c r="S9" s="28"/>
      <c r="T9" s="8">
        <f t="shared" si="5"/>
        <v>0</v>
      </c>
      <c r="U9" s="43">
        <f t="shared" si="6"/>
        <v>0</v>
      </c>
      <c r="V9" s="13" t="e">
        <f>D9/$T$9*100</f>
        <v>#DIV/0!</v>
      </c>
      <c r="W9" s="4" t="e">
        <f>E9/$T$9*100</f>
        <v>#DIV/0!</v>
      </c>
      <c r="X9" s="4" t="e">
        <f>F9/$T$9*100</f>
        <v>#DIV/0!</v>
      </c>
      <c r="Y9" s="48" t="e">
        <f>G9/$T$9*100</f>
        <v>#DIV/0!</v>
      </c>
      <c r="AC9" s="14"/>
    </row>
    <row r="10" spans="1:29" x14ac:dyDescent="0.2">
      <c r="A10" s="1" t="s">
        <v>84</v>
      </c>
      <c r="B10" s="8" t="s">
        <v>7</v>
      </c>
      <c r="C10" s="13">
        <v>145.0979296286427</v>
      </c>
      <c r="D10" s="29"/>
      <c r="E10" s="30"/>
      <c r="F10" s="30"/>
      <c r="G10" s="30"/>
      <c r="H10" s="30"/>
      <c r="I10" s="30"/>
      <c r="J10" s="30"/>
      <c r="K10" s="28"/>
      <c r="L10" s="28">
        <f t="shared" si="0"/>
        <v>0</v>
      </c>
      <c r="M10" s="28">
        <f t="shared" si="1"/>
        <v>0</v>
      </c>
      <c r="N10" s="28">
        <f t="shared" si="2"/>
        <v>0</v>
      </c>
      <c r="O10" s="28">
        <f t="shared" si="3"/>
        <v>0</v>
      </c>
      <c r="P10" s="42">
        <f t="shared" si="4"/>
        <v>0</v>
      </c>
      <c r="Q10" s="28"/>
      <c r="R10" s="28"/>
      <c r="S10" s="28"/>
      <c r="T10" s="8">
        <f t="shared" si="5"/>
        <v>0</v>
      </c>
      <c r="U10" s="43">
        <f t="shared" si="6"/>
        <v>0</v>
      </c>
      <c r="V10" s="13" t="e">
        <f>D10/$T$10*100</f>
        <v>#DIV/0!</v>
      </c>
      <c r="W10" s="4" t="e">
        <f>E10/$T$10*100</f>
        <v>#DIV/0!</v>
      </c>
      <c r="X10" s="4" t="e">
        <f>F10/$T$10*100</f>
        <v>#DIV/0!</v>
      </c>
      <c r="Y10" s="48" t="e">
        <f>G10/$T$10*100</f>
        <v>#DIV/0!</v>
      </c>
      <c r="AC10" s="14"/>
    </row>
    <row r="11" spans="1:29" ht="16" x14ac:dyDescent="0.2">
      <c r="A11" s="52" t="s">
        <v>86</v>
      </c>
      <c r="B11" s="8" t="s">
        <v>8</v>
      </c>
      <c r="C11" s="13">
        <v>127.74830304604941</v>
      </c>
      <c r="D11" s="29"/>
      <c r="E11" s="30"/>
      <c r="F11" s="30"/>
      <c r="G11" s="30"/>
      <c r="H11" s="30"/>
      <c r="I11" s="30"/>
      <c r="J11" s="30"/>
      <c r="K11" s="28"/>
      <c r="L11" s="28">
        <f t="shared" si="0"/>
        <v>0</v>
      </c>
      <c r="M11" s="28">
        <f t="shared" si="1"/>
        <v>0</v>
      </c>
      <c r="N11" s="28">
        <f t="shared" si="2"/>
        <v>0</v>
      </c>
      <c r="O11" s="28">
        <f t="shared" si="3"/>
        <v>0</v>
      </c>
      <c r="P11" s="42">
        <f t="shared" si="4"/>
        <v>0</v>
      </c>
      <c r="Q11" s="28"/>
      <c r="R11" s="28"/>
      <c r="S11" s="28"/>
      <c r="T11" s="8">
        <f t="shared" si="5"/>
        <v>0</v>
      </c>
      <c r="U11" s="43">
        <f t="shared" si="6"/>
        <v>0</v>
      </c>
      <c r="V11" s="13" t="e">
        <f>D11/$T$11*100</f>
        <v>#DIV/0!</v>
      </c>
      <c r="W11" s="4" t="e">
        <f>E11/$T$11*100</f>
        <v>#DIV/0!</v>
      </c>
      <c r="X11" s="4" t="e">
        <f>F11/$T$11*100</f>
        <v>#DIV/0!</v>
      </c>
      <c r="Y11" s="48" t="e">
        <f>G11/$T$11*100</f>
        <v>#DIV/0!</v>
      </c>
      <c r="AC11" s="14"/>
    </row>
    <row r="12" spans="1:29" x14ac:dyDescent="0.2">
      <c r="A12" s="1" t="s">
        <v>88</v>
      </c>
      <c r="B12" s="8" t="s">
        <v>9</v>
      </c>
      <c r="C12" s="13">
        <v>130.41766483297067</v>
      </c>
      <c r="D12" s="29"/>
      <c r="E12" s="30"/>
      <c r="F12" s="30"/>
      <c r="G12" s="30"/>
      <c r="H12" s="30"/>
      <c r="I12" s="30"/>
      <c r="J12" s="30"/>
      <c r="K12" s="28"/>
      <c r="L12" s="28">
        <f t="shared" si="0"/>
        <v>0</v>
      </c>
      <c r="M12" s="28">
        <f t="shared" si="1"/>
        <v>0</v>
      </c>
      <c r="N12" s="28">
        <f t="shared" si="2"/>
        <v>0</v>
      </c>
      <c r="O12" s="28">
        <f t="shared" si="3"/>
        <v>0</v>
      </c>
      <c r="P12" s="42">
        <f t="shared" si="4"/>
        <v>0</v>
      </c>
      <c r="Q12" s="28"/>
      <c r="R12" s="28"/>
      <c r="S12" s="28"/>
      <c r="T12" s="8">
        <f t="shared" si="5"/>
        <v>0</v>
      </c>
      <c r="U12" s="43">
        <f t="shared" si="6"/>
        <v>0</v>
      </c>
      <c r="V12" s="13" t="e">
        <f>D12/$T$12*100</f>
        <v>#DIV/0!</v>
      </c>
      <c r="W12" s="4" t="e">
        <f>E12/$T$12*100</f>
        <v>#DIV/0!</v>
      </c>
      <c r="X12" s="4" t="e">
        <f>F12/$T$12*100</f>
        <v>#DIV/0!</v>
      </c>
      <c r="Y12" s="48" t="e">
        <f>G12/$T$12*100</f>
        <v>#DIV/0!</v>
      </c>
      <c r="AC12" s="14"/>
    </row>
    <row r="13" spans="1:29" x14ac:dyDescent="0.2">
      <c r="A13" s="1" t="s">
        <v>90</v>
      </c>
      <c r="B13" s="8" t="s">
        <v>10</v>
      </c>
      <c r="C13" s="13">
        <v>125.39322005484902</v>
      </c>
      <c r="D13" s="29"/>
      <c r="E13" s="30"/>
      <c r="F13" s="30"/>
      <c r="G13" s="30"/>
      <c r="H13" s="30"/>
      <c r="I13" s="30"/>
      <c r="J13" s="30"/>
      <c r="K13" s="28"/>
      <c r="L13" s="28">
        <f t="shared" si="0"/>
        <v>0</v>
      </c>
      <c r="M13" s="28">
        <f t="shared" si="1"/>
        <v>0</v>
      </c>
      <c r="N13" s="28">
        <f t="shared" si="2"/>
        <v>0</v>
      </c>
      <c r="O13" s="28">
        <f t="shared" si="3"/>
        <v>0</v>
      </c>
      <c r="P13" s="42">
        <f t="shared" si="4"/>
        <v>0</v>
      </c>
      <c r="Q13" s="28"/>
      <c r="R13" s="28"/>
      <c r="S13" s="28"/>
      <c r="T13" s="8">
        <f t="shared" si="5"/>
        <v>0</v>
      </c>
      <c r="U13" s="43">
        <f t="shared" si="6"/>
        <v>0</v>
      </c>
      <c r="V13" s="13" t="e">
        <f>D13/$T$13*100</f>
        <v>#DIV/0!</v>
      </c>
      <c r="W13" s="4" t="e">
        <f>E13/$T$13*100</f>
        <v>#DIV/0!</v>
      </c>
      <c r="X13" s="4" t="e">
        <f>F13/$T$13*100</f>
        <v>#DIV/0!</v>
      </c>
      <c r="Y13" s="48" t="e">
        <f>G13/$T$13*100</f>
        <v>#DIV/0!</v>
      </c>
      <c r="AC13" s="14"/>
    </row>
    <row r="14" spans="1:29" x14ac:dyDescent="0.2">
      <c r="A14" s="1" t="s">
        <v>92</v>
      </c>
      <c r="B14" s="8" t="s">
        <v>11</v>
      </c>
      <c r="C14" s="13">
        <v>122.16499836554055</v>
      </c>
      <c r="D14" s="29"/>
      <c r="E14" s="30"/>
      <c r="F14" s="30"/>
      <c r="G14" s="30"/>
      <c r="H14" s="30"/>
      <c r="I14" s="30"/>
      <c r="J14" s="30"/>
      <c r="K14" s="28"/>
      <c r="L14" s="28">
        <f t="shared" si="0"/>
        <v>0</v>
      </c>
      <c r="M14" s="28">
        <f t="shared" si="1"/>
        <v>0</v>
      </c>
      <c r="N14" s="28">
        <f t="shared" si="2"/>
        <v>0</v>
      </c>
      <c r="O14" s="28">
        <f t="shared" si="3"/>
        <v>0</v>
      </c>
      <c r="P14" s="42">
        <f t="shared" si="4"/>
        <v>0</v>
      </c>
      <c r="Q14" s="28"/>
      <c r="R14" s="28"/>
      <c r="S14" s="28"/>
      <c r="T14" s="8">
        <f t="shared" si="5"/>
        <v>0</v>
      </c>
      <c r="U14" s="43">
        <f t="shared" si="6"/>
        <v>0</v>
      </c>
      <c r="V14" s="13" t="e">
        <f>D14/$T$14*100</f>
        <v>#DIV/0!</v>
      </c>
      <c r="W14" s="4" t="e">
        <f>E14/$T$14*100</f>
        <v>#DIV/0!</v>
      </c>
      <c r="X14" s="4" t="e">
        <f>F14/$T$14*100</f>
        <v>#DIV/0!</v>
      </c>
      <c r="Y14" s="48" t="e">
        <f>G14/$T$14*100</f>
        <v>#DIV/0!</v>
      </c>
      <c r="AC14" s="14"/>
    </row>
    <row r="15" spans="1:29" x14ac:dyDescent="0.2">
      <c r="A15" s="1" t="s">
        <v>94</v>
      </c>
      <c r="B15" s="8" t="s">
        <v>12</v>
      </c>
      <c r="C15" s="13">
        <v>146.87068065753425</v>
      </c>
      <c r="D15" s="29"/>
      <c r="E15" s="30"/>
      <c r="F15" s="30"/>
      <c r="G15" s="30"/>
      <c r="H15" s="30"/>
      <c r="I15" s="30"/>
      <c r="J15" s="30"/>
      <c r="K15" s="28"/>
      <c r="L15" s="28">
        <f t="shared" si="0"/>
        <v>0</v>
      </c>
      <c r="M15" s="28">
        <f t="shared" si="1"/>
        <v>0</v>
      </c>
      <c r="N15" s="28">
        <f t="shared" si="2"/>
        <v>0</v>
      </c>
      <c r="O15" s="28">
        <f t="shared" si="3"/>
        <v>0</v>
      </c>
      <c r="P15" s="42">
        <f t="shared" si="4"/>
        <v>0</v>
      </c>
      <c r="Q15" s="28"/>
      <c r="R15" s="28"/>
      <c r="S15" s="28"/>
      <c r="T15" s="8">
        <f t="shared" si="5"/>
        <v>0</v>
      </c>
      <c r="U15" s="43">
        <f t="shared" si="6"/>
        <v>0</v>
      </c>
      <c r="V15" s="13" t="e">
        <f>D15/$T$15*100</f>
        <v>#DIV/0!</v>
      </c>
      <c r="W15" s="4" t="e">
        <f>E15/$T$15*100</f>
        <v>#DIV/0!</v>
      </c>
      <c r="X15" s="4" t="e">
        <f>F15/$T$15*100</f>
        <v>#DIV/0!</v>
      </c>
      <c r="Y15" s="48" t="e">
        <f>G15/$T$15*100</f>
        <v>#DIV/0!</v>
      </c>
      <c r="AC15" s="14"/>
    </row>
    <row r="16" spans="1:29" x14ac:dyDescent="0.2">
      <c r="A16" s="1" t="s">
        <v>96</v>
      </c>
      <c r="B16" s="8" t="s">
        <v>13</v>
      </c>
      <c r="C16" s="13">
        <v>130.89217923422584</v>
      </c>
      <c r="D16" s="29"/>
      <c r="E16" s="30"/>
      <c r="F16" s="30"/>
      <c r="G16" s="30"/>
      <c r="H16" s="30"/>
      <c r="I16" s="30"/>
      <c r="J16" s="30"/>
      <c r="K16" s="28"/>
      <c r="L16" s="28">
        <f t="shared" si="0"/>
        <v>0</v>
      </c>
      <c r="M16" s="28">
        <f t="shared" si="1"/>
        <v>0</v>
      </c>
      <c r="N16" s="28">
        <f t="shared" si="2"/>
        <v>0</v>
      </c>
      <c r="O16" s="28">
        <f t="shared" si="3"/>
        <v>0</v>
      </c>
      <c r="P16" s="42">
        <f t="shared" si="4"/>
        <v>0</v>
      </c>
      <c r="Q16" s="28"/>
      <c r="R16" s="28"/>
      <c r="S16" s="28"/>
      <c r="T16" s="8">
        <f t="shared" si="5"/>
        <v>0</v>
      </c>
      <c r="U16" s="43">
        <f t="shared" si="6"/>
        <v>0</v>
      </c>
      <c r="V16" s="13" t="e">
        <f>D16/$T$16*100</f>
        <v>#DIV/0!</v>
      </c>
      <c r="W16" s="4" t="e">
        <f>E16/$T$16*100</f>
        <v>#DIV/0!</v>
      </c>
      <c r="X16" s="4" t="e">
        <f>F16/$T$16*100</f>
        <v>#DIV/0!</v>
      </c>
      <c r="Y16" s="48" t="e">
        <f>G16/$T$16*100</f>
        <v>#DIV/0!</v>
      </c>
      <c r="AC16" s="14"/>
    </row>
    <row r="17" spans="1:29" x14ac:dyDescent="0.2">
      <c r="A17" s="1" t="s">
        <v>98</v>
      </c>
      <c r="B17" s="8" t="s">
        <v>14</v>
      </c>
      <c r="C17" s="13">
        <v>68.818694063301194</v>
      </c>
      <c r="D17" s="29"/>
      <c r="E17" s="30"/>
      <c r="F17" s="30"/>
      <c r="G17" s="30"/>
      <c r="H17" s="30"/>
      <c r="I17" s="30"/>
      <c r="J17" s="30"/>
      <c r="K17" s="28"/>
      <c r="L17" s="28">
        <f t="shared" si="0"/>
        <v>0</v>
      </c>
      <c r="M17" s="28">
        <f t="shared" si="1"/>
        <v>0</v>
      </c>
      <c r="N17" s="28">
        <f t="shared" si="2"/>
        <v>0</v>
      </c>
      <c r="O17" s="28">
        <f t="shared" si="3"/>
        <v>0</v>
      </c>
      <c r="P17" s="42">
        <f t="shared" si="4"/>
        <v>0</v>
      </c>
      <c r="Q17" s="28"/>
      <c r="R17" s="28"/>
      <c r="S17" s="28"/>
      <c r="T17" s="8">
        <f t="shared" si="5"/>
        <v>0</v>
      </c>
      <c r="U17" s="43">
        <f t="shared" si="6"/>
        <v>0</v>
      </c>
      <c r="V17" s="13" t="e">
        <f>D17/$T$17*100</f>
        <v>#DIV/0!</v>
      </c>
      <c r="W17" s="4" t="e">
        <f>E17/$T$17*100</f>
        <v>#DIV/0!</v>
      </c>
      <c r="X17" s="4" t="e">
        <f>F17/$T$17*100</f>
        <v>#DIV/0!</v>
      </c>
      <c r="Y17" s="48" t="e">
        <f>G17/$T$17*100</f>
        <v>#DIV/0!</v>
      </c>
      <c r="AC17" s="14"/>
    </row>
    <row r="18" spans="1:29" x14ac:dyDescent="0.2">
      <c r="A18" s="1" t="s">
        <v>100</v>
      </c>
      <c r="B18" s="8" t="s">
        <v>15</v>
      </c>
      <c r="C18" s="13">
        <v>130.65055284958299</v>
      </c>
      <c r="D18" s="29"/>
      <c r="E18" s="30"/>
      <c r="F18" s="30"/>
      <c r="G18" s="30"/>
      <c r="H18" s="30"/>
      <c r="I18" s="30"/>
      <c r="J18" s="30"/>
      <c r="K18" s="28"/>
      <c r="L18" s="28">
        <f t="shared" si="0"/>
        <v>0</v>
      </c>
      <c r="M18" s="28">
        <f t="shared" si="1"/>
        <v>0</v>
      </c>
      <c r="N18" s="28">
        <f t="shared" si="2"/>
        <v>0</v>
      </c>
      <c r="O18" s="28">
        <f t="shared" si="3"/>
        <v>0</v>
      </c>
      <c r="P18" s="42">
        <f t="shared" si="4"/>
        <v>0</v>
      </c>
      <c r="Q18" s="28"/>
      <c r="R18" s="28"/>
      <c r="S18" s="28"/>
      <c r="T18" s="8">
        <f t="shared" si="5"/>
        <v>0</v>
      </c>
      <c r="U18" s="43">
        <f t="shared" si="6"/>
        <v>0</v>
      </c>
      <c r="V18" s="13" t="e">
        <f>D18/$T$18*100</f>
        <v>#DIV/0!</v>
      </c>
      <c r="W18" s="4" t="e">
        <f>E18/$T$18*100</f>
        <v>#DIV/0!</v>
      </c>
      <c r="X18" s="4" t="e">
        <f>F18/$T$18*100</f>
        <v>#DIV/0!</v>
      </c>
      <c r="Y18" s="48" t="e">
        <f>G18/$T$18*100</f>
        <v>#DIV/0!</v>
      </c>
      <c r="AC18" s="14"/>
    </row>
    <row r="19" spans="1:29" x14ac:dyDescent="0.2">
      <c r="A19" s="1" t="s">
        <v>102</v>
      </c>
      <c r="B19" s="8" t="s">
        <v>16</v>
      </c>
      <c r="C19" s="13">
        <v>110.44600086309183</v>
      </c>
      <c r="D19" s="29"/>
      <c r="E19" s="30"/>
      <c r="F19" s="30"/>
      <c r="G19" s="30"/>
      <c r="H19" s="30"/>
      <c r="I19" s="30"/>
      <c r="J19" s="30"/>
      <c r="K19" s="28"/>
      <c r="L19" s="28">
        <f t="shared" si="0"/>
        <v>0</v>
      </c>
      <c r="M19" s="28">
        <f t="shared" si="1"/>
        <v>0</v>
      </c>
      <c r="N19" s="28">
        <f t="shared" si="2"/>
        <v>0</v>
      </c>
      <c r="O19" s="28">
        <f t="shared" si="3"/>
        <v>0</v>
      </c>
      <c r="P19" s="42">
        <f t="shared" si="4"/>
        <v>0</v>
      </c>
      <c r="Q19" s="28"/>
      <c r="R19" s="28"/>
      <c r="S19" s="28"/>
      <c r="T19" s="8">
        <f t="shared" si="5"/>
        <v>0</v>
      </c>
      <c r="U19" s="43">
        <f t="shared" si="6"/>
        <v>0</v>
      </c>
      <c r="V19" s="13" t="e">
        <f>D19/$T$19*100</f>
        <v>#DIV/0!</v>
      </c>
      <c r="W19" s="4" t="e">
        <f>E19/$T$19*100</f>
        <v>#DIV/0!</v>
      </c>
      <c r="X19" s="4" t="e">
        <f>F19/$T$19*100</f>
        <v>#DIV/0!</v>
      </c>
      <c r="Y19" s="48" t="e">
        <f>G19/$T$19*100</f>
        <v>#DIV/0!</v>
      </c>
      <c r="AC19" s="14"/>
    </row>
    <row r="20" spans="1:29" x14ac:dyDescent="0.2">
      <c r="A20" s="1" t="s">
        <v>104</v>
      </c>
      <c r="B20" s="8" t="s">
        <v>17</v>
      </c>
      <c r="C20" s="13">
        <v>117.52188726819432</v>
      </c>
      <c r="D20" s="29"/>
      <c r="E20" s="30"/>
      <c r="F20" s="30"/>
      <c r="G20" s="30"/>
      <c r="H20" s="30"/>
      <c r="I20" s="30"/>
      <c r="J20" s="30"/>
      <c r="K20" s="28"/>
      <c r="L20" s="28">
        <f t="shared" si="0"/>
        <v>0</v>
      </c>
      <c r="M20" s="28">
        <f t="shared" si="1"/>
        <v>0</v>
      </c>
      <c r="N20" s="28">
        <f t="shared" si="2"/>
        <v>0</v>
      </c>
      <c r="O20" s="28">
        <f t="shared" si="3"/>
        <v>0</v>
      </c>
      <c r="P20" s="42">
        <f t="shared" si="4"/>
        <v>0</v>
      </c>
      <c r="Q20" s="28"/>
      <c r="R20" s="28"/>
      <c r="S20" s="28"/>
      <c r="T20" s="8">
        <f t="shared" si="5"/>
        <v>0</v>
      </c>
      <c r="U20" s="43">
        <f t="shared" si="6"/>
        <v>0</v>
      </c>
      <c r="V20" s="13" t="e">
        <f>D20/$T$20*100</f>
        <v>#DIV/0!</v>
      </c>
      <c r="W20" s="4" t="e">
        <f>E20/$T$20*100</f>
        <v>#DIV/0!</v>
      </c>
      <c r="X20" s="4" t="e">
        <f>F20/$T$20*100</f>
        <v>#DIV/0!</v>
      </c>
      <c r="Y20" s="48" t="e">
        <f>G20/$T$20*100</f>
        <v>#DIV/0!</v>
      </c>
      <c r="AC20" s="14"/>
    </row>
    <row r="21" spans="1:29" x14ac:dyDescent="0.2">
      <c r="A21" s="1" t="s">
        <v>106</v>
      </c>
      <c r="B21" s="8" t="s">
        <v>18</v>
      </c>
      <c r="C21" s="13">
        <v>97.198118384657477</v>
      </c>
      <c r="D21" s="29"/>
      <c r="E21" s="30"/>
      <c r="F21" s="30"/>
      <c r="G21" s="30"/>
      <c r="H21" s="30"/>
      <c r="I21" s="30"/>
      <c r="J21" s="30"/>
      <c r="K21" s="28"/>
      <c r="L21" s="28">
        <f t="shared" si="0"/>
        <v>0</v>
      </c>
      <c r="M21" s="28">
        <f t="shared" si="1"/>
        <v>0</v>
      </c>
      <c r="N21" s="28">
        <f t="shared" si="2"/>
        <v>0</v>
      </c>
      <c r="O21" s="28">
        <f t="shared" si="3"/>
        <v>0</v>
      </c>
      <c r="P21" s="42">
        <f t="shared" si="4"/>
        <v>0</v>
      </c>
      <c r="Q21" s="28"/>
      <c r="R21" s="28"/>
      <c r="S21" s="28"/>
      <c r="T21" s="8">
        <f t="shared" si="5"/>
        <v>0</v>
      </c>
      <c r="U21" s="43">
        <f t="shared" si="6"/>
        <v>0</v>
      </c>
      <c r="V21" s="13" t="e">
        <f>D21/$T$21*100</f>
        <v>#DIV/0!</v>
      </c>
      <c r="W21" s="4" t="e">
        <f>E21/$T$21*100</f>
        <v>#DIV/0!</v>
      </c>
      <c r="X21" s="4" t="e">
        <f>F21/$T$21*100</f>
        <v>#DIV/0!</v>
      </c>
      <c r="Y21" s="48" t="e">
        <f>G21/$T$21*100</f>
        <v>#DIV/0!</v>
      </c>
      <c r="AC21" s="14"/>
    </row>
    <row r="22" spans="1:29" x14ac:dyDescent="0.2">
      <c r="A22" s="1" t="s">
        <v>108</v>
      </c>
      <c r="B22" s="8" t="s">
        <v>19</v>
      </c>
      <c r="C22" s="13">
        <v>127.31000379392765</v>
      </c>
      <c r="D22" s="29"/>
      <c r="E22" s="30"/>
      <c r="F22" s="30"/>
      <c r="G22" s="30"/>
      <c r="H22" s="30"/>
      <c r="I22" s="30"/>
      <c r="J22" s="30"/>
      <c r="K22" s="28"/>
      <c r="L22" s="28">
        <f t="shared" si="0"/>
        <v>0</v>
      </c>
      <c r="M22" s="28">
        <f t="shared" si="1"/>
        <v>0</v>
      </c>
      <c r="N22" s="28">
        <f t="shared" si="2"/>
        <v>0</v>
      </c>
      <c r="O22" s="28">
        <f t="shared" si="3"/>
        <v>0</v>
      </c>
      <c r="P22" s="42">
        <f t="shared" si="4"/>
        <v>0</v>
      </c>
      <c r="Q22" s="28"/>
      <c r="R22" s="28"/>
      <c r="S22" s="28"/>
      <c r="T22" s="8">
        <f t="shared" si="5"/>
        <v>0</v>
      </c>
      <c r="U22" s="43">
        <f t="shared" si="6"/>
        <v>0</v>
      </c>
      <c r="V22" s="13" t="e">
        <f>D22/$T$22*100</f>
        <v>#DIV/0!</v>
      </c>
      <c r="W22" s="4" t="e">
        <f>E22/$T$22*100</f>
        <v>#DIV/0!</v>
      </c>
      <c r="X22" s="4" t="e">
        <f>F22/$T$22*100</f>
        <v>#DIV/0!</v>
      </c>
      <c r="Y22" s="48" t="e">
        <f>G22/$T$22*100</f>
        <v>#DIV/0!</v>
      </c>
      <c r="AC22" s="14"/>
    </row>
    <row r="23" spans="1:29" ht="16" x14ac:dyDescent="0.2">
      <c r="A23" s="52" t="s">
        <v>110</v>
      </c>
      <c r="B23" s="8" t="s">
        <v>20</v>
      </c>
      <c r="C23" s="13">
        <v>143.4385517594913</v>
      </c>
      <c r="D23" s="29"/>
      <c r="E23" s="30"/>
      <c r="F23" s="30"/>
      <c r="G23" s="30"/>
      <c r="H23" s="30"/>
      <c r="I23" s="30"/>
      <c r="J23" s="30"/>
      <c r="K23" s="28"/>
      <c r="L23" s="28">
        <f t="shared" si="0"/>
        <v>0</v>
      </c>
      <c r="M23" s="28">
        <f t="shared" si="1"/>
        <v>0</v>
      </c>
      <c r="N23" s="28">
        <f t="shared" si="2"/>
        <v>0</v>
      </c>
      <c r="O23" s="28">
        <f t="shared" si="3"/>
        <v>0</v>
      </c>
      <c r="P23" s="42">
        <f t="shared" si="4"/>
        <v>0</v>
      </c>
      <c r="Q23" s="28"/>
      <c r="R23" s="28"/>
      <c r="S23" s="28"/>
      <c r="T23" s="8">
        <f t="shared" si="5"/>
        <v>0</v>
      </c>
      <c r="U23" s="43">
        <f t="shared" si="6"/>
        <v>0</v>
      </c>
      <c r="V23" s="13" t="e">
        <f>D23/$T$23*100</f>
        <v>#DIV/0!</v>
      </c>
      <c r="W23" s="4" t="e">
        <f>E23/$T$23*100</f>
        <v>#DIV/0!</v>
      </c>
      <c r="X23" s="4" t="e">
        <f>F23/$T$23*100</f>
        <v>#DIV/0!</v>
      </c>
      <c r="Y23" s="48" t="e">
        <f>G23/$T$23*100</f>
        <v>#DIV/0!</v>
      </c>
      <c r="AC23" s="14"/>
    </row>
    <row r="24" spans="1:29" ht="16" x14ac:dyDescent="0.2">
      <c r="A24" s="52" t="s">
        <v>112</v>
      </c>
      <c r="B24" s="8" t="s">
        <v>21</v>
      </c>
      <c r="C24" s="13">
        <v>110.74207412094421</v>
      </c>
      <c r="D24" s="29"/>
      <c r="E24" s="30"/>
      <c r="F24" s="30"/>
      <c r="G24" s="30"/>
      <c r="H24" s="30"/>
      <c r="I24" s="30"/>
      <c r="J24" s="30"/>
      <c r="K24" s="28"/>
      <c r="L24" s="28">
        <f t="shared" si="0"/>
        <v>0</v>
      </c>
      <c r="M24" s="28">
        <f t="shared" si="1"/>
        <v>0</v>
      </c>
      <c r="N24" s="28">
        <f t="shared" si="2"/>
        <v>0</v>
      </c>
      <c r="O24" s="28">
        <f t="shared" si="3"/>
        <v>0</v>
      </c>
      <c r="P24" s="42">
        <f t="shared" si="4"/>
        <v>0</v>
      </c>
      <c r="Q24" s="28"/>
      <c r="R24" s="28"/>
      <c r="S24" s="28"/>
      <c r="T24" s="8">
        <f t="shared" si="5"/>
        <v>0</v>
      </c>
      <c r="U24" s="43">
        <f t="shared" si="6"/>
        <v>0</v>
      </c>
      <c r="V24" s="13" t="e">
        <f>D24/$T$24*100</f>
        <v>#DIV/0!</v>
      </c>
      <c r="W24" s="4" t="e">
        <f>E24/$T$24*100</f>
        <v>#DIV/0!</v>
      </c>
      <c r="X24" s="4" t="e">
        <f>F24/$T$24*100</f>
        <v>#DIV/0!</v>
      </c>
      <c r="Y24" s="48" t="e">
        <f>G24/$T$24*100</f>
        <v>#DIV/0!</v>
      </c>
      <c r="AC24" s="14"/>
    </row>
    <row r="25" spans="1:29" ht="16" x14ac:dyDescent="0.2">
      <c r="A25" s="52" t="s">
        <v>114</v>
      </c>
      <c r="B25" s="8" t="s">
        <v>22</v>
      </c>
      <c r="C25" s="13">
        <v>137.29877325454129</v>
      </c>
      <c r="D25" s="29"/>
      <c r="E25" s="30"/>
      <c r="F25" s="30"/>
      <c r="G25" s="30"/>
      <c r="H25" s="30"/>
      <c r="I25" s="30"/>
      <c r="J25" s="30"/>
      <c r="K25" s="28"/>
      <c r="L25" s="28">
        <f t="shared" si="0"/>
        <v>0</v>
      </c>
      <c r="M25" s="28">
        <f t="shared" si="1"/>
        <v>0</v>
      </c>
      <c r="N25" s="28">
        <f t="shared" si="2"/>
        <v>0</v>
      </c>
      <c r="O25" s="28">
        <f t="shared" si="3"/>
        <v>0</v>
      </c>
      <c r="P25" s="42">
        <f t="shared" si="4"/>
        <v>0</v>
      </c>
      <c r="Q25" s="28"/>
      <c r="R25" s="28"/>
      <c r="S25" s="28"/>
      <c r="T25" s="8">
        <f t="shared" si="5"/>
        <v>0</v>
      </c>
      <c r="U25" s="43">
        <f t="shared" si="6"/>
        <v>0</v>
      </c>
      <c r="V25" s="13" t="e">
        <f>D25/$T$25*100</f>
        <v>#DIV/0!</v>
      </c>
      <c r="W25" s="4" t="e">
        <f>E25/$T$25*100</f>
        <v>#DIV/0!</v>
      </c>
      <c r="X25" s="4" t="e">
        <f>F25/$T$25*100</f>
        <v>#DIV/0!</v>
      </c>
      <c r="Y25" s="48" t="e">
        <f>G25/$T$25*100</f>
        <v>#DIV/0!</v>
      </c>
      <c r="AC25" s="14"/>
    </row>
    <row r="26" spans="1:29" ht="16" x14ac:dyDescent="0.2">
      <c r="A26" s="52" t="s">
        <v>116</v>
      </c>
      <c r="B26" s="8" t="s">
        <v>23</v>
      </c>
      <c r="C26" s="13">
        <v>136.74822250998346</v>
      </c>
      <c r="D26" s="29"/>
      <c r="E26" s="30"/>
      <c r="F26" s="30"/>
      <c r="G26" s="30"/>
      <c r="H26" s="30"/>
      <c r="I26" s="30"/>
      <c r="J26" s="30"/>
      <c r="K26" s="28"/>
      <c r="L26" s="28">
        <f t="shared" si="0"/>
        <v>0</v>
      </c>
      <c r="M26" s="28">
        <f t="shared" si="1"/>
        <v>0</v>
      </c>
      <c r="N26" s="28">
        <f t="shared" si="2"/>
        <v>0</v>
      </c>
      <c r="O26" s="28">
        <f t="shared" si="3"/>
        <v>0</v>
      </c>
      <c r="P26" s="42">
        <f t="shared" si="4"/>
        <v>0</v>
      </c>
      <c r="Q26" s="28"/>
      <c r="R26" s="28"/>
      <c r="S26" s="28"/>
      <c r="T26" s="8">
        <f t="shared" si="5"/>
        <v>0</v>
      </c>
      <c r="U26" s="43">
        <f t="shared" si="6"/>
        <v>0</v>
      </c>
      <c r="V26" s="13" t="e">
        <f>D26/$T$26*100</f>
        <v>#DIV/0!</v>
      </c>
      <c r="W26" s="4" t="e">
        <f>E26/$T$26*100</f>
        <v>#DIV/0!</v>
      </c>
      <c r="X26" s="4" t="e">
        <f>F26/$T$26*100</f>
        <v>#DIV/0!</v>
      </c>
      <c r="Y26" s="48" t="e">
        <f>G26/$T$26*100</f>
        <v>#DIV/0!</v>
      </c>
      <c r="AC26" s="14"/>
    </row>
    <row r="27" spans="1:29" x14ac:dyDescent="0.2">
      <c r="A27" s="1" t="s">
        <v>118</v>
      </c>
      <c r="B27" s="8" t="s">
        <v>24</v>
      </c>
      <c r="C27" s="13">
        <v>117.01602075231662</v>
      </c>
      <c r="D27" s="29"/>
      <c r="E27" s="30"/>
      <c r="F27" s="30"/>
      <c r="G27" s="30"/>
      <c r="H27" s="30"/>
      <c r="I27" s="30"/>
      <c r="J27" s="30"/>
      <c r="K27" s="28"/>
      <c r="L27" s="28">
        <f t="shared" si="0"/>
        <v>0</v>
      </c>
      <c r="M27" s="28">
        <f t="shared" si="1"/>
        <v>0</v>
      </c>
      <c r="N27" s="28">
        <f t="shared" si="2"/>
        <v>0</v>
      </c>
      <c r="O27" s="28">
        <f t="shared" si="3"/>
        <v>0</v>
      </c>
      <c r="P27" s="42">
        <f t="shared" si="4"/>
        <v>0</v>
      </c>
      <c r="Q27" s="28"/>
      <c r="R27" s="28"/>
      <c r="S27" s="28"/>
      <c r="T27" s="8">
        <f t="shared" si="5"/>
        <v>0</v>
      </c>
      <c r="U27" s="43">
        <f t="shared" si="6"/>
        <v>0</v>
      </c>
      <c r="V27" s="13" t="e">
        <f>D27/$T$27*100</f>
        <v>#DIV/0!</v>
      </c>
      <c r="W27" s="4" t="e">
        <f>E27/$T$27*100</f>
        <v>#DIV/0!</v>
      </c>
      <c r="X27" s="4" t="e">
        <f>F27/$T$27*100</f>
        <v>#DIV/0!</v>
      </c>
      <c r="Y27" s="48" t="e">
        <f>G27/$T$27*100</f>
        <v>#DIV/0!</v>
      </c>
      <c r="AC27" s="14"/>
    </row>
    <row r="28" spans="1:29" x14ac:dyDescent="0.2">
      <c r="A28" s="1" t="s">
        <v>120</v>
      </c>
      <c r="B28" s="8" t="s">
        <v>25</v>
      </c>
      <c r="C28" s="13">
        <v>124.6589491999994</v>
      </c>
      <c r="D28" s="29"/>
      <c r="E28" s="30"/>
      <c r="F28" s="30"/>
      <c r="G28" s="30"/>
      <c r="H28" s="30"/>
      <c r="I28" s="30"/>
      <c r="J28" s="30"/>
      <c r="K28" s="28"/>
      <c r="L28" s="28">
        <f t="shared" si="0"/>
        <v>0</v>
      </c>
      <c r="M28" s="28">
        <f t="shared" si="1"/>
        <v>0</v>
      </c>
      <c r="N28" s="28">
        <f t="shared" si="2"/>
        <v>0</v>
      </c>
      <c r="O28" s="28">
        <f t="shared" si="3"/>
        <v>0</v>
      </c>
      <c r="P28" s="42">
        <f t="shared" si="4"/>
        <v>0</v>
      </c>
      <c r="Q28" s="28"/>
      <c r="R28" s="28"/>
      <c r="S28" s="28"/>
      <c r="T28" s="8">
        <f t="shared" si="5"/>
        <v>0</v>
      </c>
      <c r="U28" s="43">
        <f t="shared" si="6"/>
        <v>0</v>
      </c>
      <c r="V28" s="13" t="e">
        <f>D28/$T$28*100</f>
        <v>#DIV/0!</v>
      </c>
      <c r="W28" s="4" t="e">
        <f>E28/$T$28*100</f>
        <v>#DIV/0!</v>
      </c>
      <c r="X28" s="4" t="e">
        <f>F28/$T$28*100</f>
        <v>#DIV/0!</v>
      </c>
      <c r="Y28" s="48" t="e">
        <f>G28/$T$28*100</f>
        <v>#DIV/0!</v>
      </c>
      <c r="AC28" s="14"/>
    </row>
    <row r="29" spans="1:29" ht="16" x14ac:dyDescent="0.2">
      <c r="A29" s="52" t="s">
        <v>122</v>
      </c>
      <c r="B29" s="8" t="s">
        <v>26</v>
      </c>
      <c r="C29" s="13">
        <v>131.82322224628973</v>
      </c>
      <c r="D29" s="29"/>
      <c r="E29" s="30"/>
      <c r="F29" s="30"/>
      <c r="G29" s="30"/>
      <c r="H29" s="30"/>
      <c r="I29" s="30"/>
      <c r="J29" s="30"/>
      <c r="K29" s="28"/>
      <c r="L29" s="28">
        <f t="shared" si="0"/>
        <v>0</v>
      </c>
      <c r="M29" s="28">
        <f t="shared" si="1"/>
        <v>0</v>
      </c>
      <c r="N29" s="28">
        <f t="shared" si="2"/>
        <v>0</v>
      </c>
      <c r="O29" s="28">
        <f t="shared" si="3"/>
        <v>0</v>
      </c>
      <c r="P29" s="42">
        <f t="shared" si="4"/>
        <v>0</v>
      </c>
      <c r="Q29" s="28"/>
      <c r="R29" s="28"/>
      <c r="S29" s="28"/>
      <c r="T29" s="8">
        <f t="shared" si="5"/>
        <v>0</v>
      </c>
      <c r="U29" s="43">
        <f t="shared" si="6"/>
        <v>0</v>
      </c>
      <c r="V29" s="13" t="e">
        <f>D29/$T$29*100</f>
        <v>#DIV/0!</v>
      </c>
      <c r="W29" s="4" t="e">
        <f>E29/$T$29*100</f>
        <v>#DIV/0!</v>
      </c>
      <c r="X29" s="4" t="e">
        <f>F29/$T$29*100</f>
        <v>#DIV/0!</v>
      </c>
      <c r="Y29" s="48" t="e">
        <f>G29/$T$29*100</f>
        <v>#DIV/0!</v>
      </c>
      <c r="AC29" s="14"/>
    </row>
    <row r="30" spans="1:29" x14ac:dyDescent="0.2">
      <c r="A30" s="1" t="s">
        <v>124</v>
      </c>
      <c r="B30" s="8" t="s">
        <v>27</v>
      </c>
      <c r="C30" s="13">
        <v>120.13545845490287</v>
      </c>
      <c r="D30" s="29"/>
      <c r="E30" s="30"/>
      <c r="F30" s="30"/>
      <c r="G30" s="30"/>
      <c r="H30" s="30"/>
      <c r="I30" s="30"/>
      <c r="J30" s="30"/>
      <c r="K30" s="28"/>
      <c r="L30" s="28">
        <f t="shared" si="0"/>
        <v>0</v>
      </c>
      <c r="M30" s="28">
        <f t="shared" si="1"/>
        <v>0</v>
      </c>
      <c r="N30" s="28">
        <f t="shared" si="2"/>
        <v>0</v>
      </c>
      <c r="O30" s="28">
        <f t="shared" si="3"/>
        <v>0</v>
      </c>
      <c r="P30" s="42">
        <f t="shared" si="4"/>
        <v>0</v>
      </c>
      <c r="Q30" s="28"/>
      <c r="R30" s="28"/>
      <c r="S30" s="28"/>
      <c r="T30" s="8">
        <f t="shared" si="5"/>
        <v>0</v>
      </c>
      <c r="U30" s="43">
        <f t="shared" si="6"/>
        <v>0</v>
      </c>
      <c r="V30" s="13" t="e">
        <f>D30/$T$30*100</f>
        <v>#DIV/0!</v>
      </c>
      <c r="W30" s="4" t="e">
        <f>E30/$T$30*100</f>
        <v>#DIV/0!</v>
      </c>
      <c r="X30" s="4" t="e">
        <f>F30/$T$30*100</f>
        <v>#DIV/0!</v>
      </c>
      <c r="Y30" s="48" t="e">
        <f>G30/$T$30*100</f>
        <v>#DIV/0!</v>
      </c>
      <c r="AC30" s="14"/>
    </row>
    <row r="31" spans="1:29" x14ac:dyDescent="0.2">
      <c r="A31" s="1" t="s">
        <v>126</v>
      </c>
      <c r="B31" s="8" t="s">
        <v>28</v>
      </c>
      <c r="C31" s="13">
        <v>133.6306416614492</v>
      </c>
      <c r="D31" s="29"/>
      <c r="E31" s="30"/>
      <c r="F31" s="30"/>
      <c r="G31" s="30"/>
      <c r="H31" s="30"/>
      <c r="I31" s="30"/>
      <c r="J31" s="30"/>
      <c r="K31" s="28"/>
      <c r="L31" s="28">
        <f t="shared" si="0"/>
        <v>0</v>
      </c>
      <c r="M31" s="28">
        <f t="shared" si="1"/>
        <v>0</v>
      </c>
      <c r="N31" s="28">
        <f t="shared" si="2"/>
        <v>0</v>
      </c>
      <c r="O31" s="28">
        <f t="shared" si="3"/>
        <v>0</v>
      </c>
      <c r="P31" s="42">
        <f t="shared" si="4"/>
        <v>0</v>
      </c>
      <c r="Q31" s="28"/>
      <c r="R31" s="28"/>
      <c r="S31" s="28"/>
      <c r="T31" s="8">
        <f t="shared" si="5"/>
        <v>0</v>
      </c>
      <c r="U31" s="43">
        <f t="shared" si="6"/>
        <v>0</v>
      </c>
      <c r="V31" s="13" t="e">
        <f>D31/$T$31*100</f>
        <v>#DIV/0!</v>
      </c>
      <c r="W31" s="4" t="e">
        <f>E31/$T$31*100</f>
        <v>#DIV/0!</v>
      </c>
      <c r="X31" s="4" t="e">
        <f>F31/$T$31*100</f>
        <v>#DIV/0!</v>
      </c>
      <c r="Y31" s="48" t="e">
        <f>G31/$T$31*100</f>
        <v>#DIV/0!</v>
      </c>
      <c r="AC31" s="14"/>
    </row>
    <row r="32" spans="1:29" x14ac:dyDescent="0.2">
      <c r="A32" s="1" t="s">
        <v>128</v>
      </c>
      <c r="B32" s="8" t="s">
        <v>29</v>
      </c>
      <c r="C32" s="13">
        <v>89.665815943679206</v>
      </c>
      <c r="D32" s="29"/>
      <c r="E32" s="30"/>
      <c r="F32" s="30"/>
      <c r="G32" s="30"/>
      <c r="H32" s="30"/>
      <c r="I32" s="30"/>
      <c r="J32" s="30"/>
      <c r="K32" s="28"/>
      <c r="L32" s="28">
        <f t="shared" si="0"/>
        <v>0</v>
      </c>
      <c r="M32" s="28">
        <f t="shared" si="1"/>
        <v>0</v>
      </c>
      <c r="N32" s="28">
        <f t="shared" si="2"/>
        <v>0</v>
      </c>
      <c r="O32" s="28">
        <f t="shared" si="3"/>
        <v>0</v>
      </c>
      <c r="P32" s="42">
        <f t="shared" si="4"/>
        <v>0</v>
      </c>
      <c r="Q32" s="28"/>
      <c r="R32" s="28"/>
      <c r="S32" s="28"/>
      <c r="T32" s="8">
        <f t="shared" si="5"/>
        <v>0</v>
      </c>
      <c r="U32" s="43">
        <f t="shared" si="6"/>
        <v>0</v>
      </c>
      <c r="V32" s="13" t="e">
        <f>D32/$T$32*100</f>
        <v>#DIV/0!</v>
      </c>
      <c r="W32" s="4" t="e">
        <f>E32/$T$32*100</f>
        <v>#DIV/0!</v>
      </c>
      <c r="X32" s="4" t="e">
        <f>F32/$T$32*100</f>
        <v>#DIV/0!</v>
      </c>
      <c r="Y32" s="48" t="e">
        <f>G32/$T$32*100</f>
        <v>#DIV/0!</v>
      </c>
      <c r="AC32" s="14"/>
    </row>
    <row r="33" spans="1:29" x14ac:dyDescent="0.2">
      <c r="A33" s="1" t="s">
        <v>130</v>
      </c>
      <c r="B33" s="8" t="s">
        <v>30</v>
      </c>
      <c r="C33" s="13">
        <v>117.18257637794109</v>
      </c>
      <c r="D33" s="29"/>
      <c r="E33" s="30"/>
      <c r="F33" s="30"/>
      <c r="G33" s="30"/>
      <c r="H33" s="30"/>
      <c r="I33" s="30"/>
      <c r="J33" s="30"/>
      <c r="K33" s="28"/>
      <c r="L33" s="28">
        <f t="shared" si="0"/>
        <v>0</v>
      </c>
      <c r="M33" s="28">
        <f t="shared" si="1"/>
        <v>0</v>
      </c>
      <c r="N33" s="28">
        <f t="shared" si="2"/>
        <v>0</v>
      </c>
      <c r="O33" s="28">
        <f t="shared" si="3"/>
        <v>0</v>
      </c>
      <c r="P33" s="42">
        <f t="shared" si="4"/>
        <v>0</v>
      </c>
      <c r="Q33" s="28"/>
      <c r="R33" s="28"/>
      <c r="S33" s="28"/>
      <c r="T33" s="8">
        <f t="shared" si="5"/>
        <v>0</v>
      </c>
      <c r="U33" s="43">
        <f t="shared" si="6"/>
        <v>0</v>
      </c>
      <c r="V33" s="13" t="e">
        <f>D33/$T$33*100</f>
        <v>#DIV/0!</v>
      </c>
      <c r="W33" s="4" t="e">
        <f>E33/$T$33*100</f>
        <v>#DIV/0!</v>
      </c>
      <c r="X33" s="4" t="e">
        <f>F33/$T$33*100</f>
        <v>#DIV/0!</v>
      </c>
      <c r="Y33" s="48" t="e">
        <f>G33/$T$33*100</f>
        <v>#DIV/0!</v>
      </c>
      <c r="AC33" s="14"/>
    </row>
    <row r="34" spans="1:29" x14ac:dyDescent="0.2">
      <c r="A34" s="1" t="s">
        <v>132</v>
      </c>
      <c r="B34" s="8" t="s">
        <v>31</v>
      </c>
      <c r="C34" s="13">
        <v>93.866959001563146</v>
      </c>
      <c r="D34" s="29"/>
      <c r="E34" s="30"/>
      <c r="F34" s="30"/>
      <c r="G34" s="30"/>
      <c r="H34" s="30"/>
      <c r="I34" s="30"/>
      <c r="J34" s="30"/>
      <c r="K34" s="28"/>
      <c r="L34" s="28">
        <f t="shared" si="0"/>
        <v>0</v>
      </c>
      <c r="M34" s="28">
        <f t="shared" si="1"/>
        <v>0</v>
      </c>
      <c r="N34" s="28">
        <f t="shared" si="2"/>
        <v>0</v>
      </c>
      <c r="O34" s="28">
        <f t="shared" si="3"/>
        <v>0</v>
      </c>
      <c r="P34" s="42">
        <f t="shared" si="4"/>
        <v>0</v>
      </c>
      <c r="Q34" s="28"/>
      <c r="R34" s="28"/>
      <c r="S34" s="28"/>
      <c r="T34" s="8">
        <f t="shared" si="5"/>
        <v>0</v>
      </c>
      <c r="U34" s="43">
        <f t="shared" si="6"/>
        <v>0</v>
      </c>
      <c r="V34" s="13" t="e">
        <f>D34/$T$34*100</f>
        <v>#DIV/0!</v>
      </c>
      <c r="W34" s="4" t="e">
        <f>E34/$T$34*100</f>
        <v>#DIV/0!</v>
      </c>
      <c r="X34" s="4" t="e">
        <f>F34/$T$34*100</f>
        <v>#DIV/0!</v>
      </c>
      <c r="Y34" s="48" t="e">
        <f>G34/$T$34*100</f>
        <v>#DIV/0!</v>
      </c>
      <c r="AC34" s="14"/>
    </row>
    <row r="35" spans="1:29" x14ac:dyDescent="0.2">
      <c r="A35" s="1" t="s">
        <v>134</v>
      </c>
      <c r="B35" s="8" t="s">
        <v>32</v>
      </c>
      <c r="C35" s="13">
        <v>124.3878226689603</v>
      </c>
      <c r="D35" s="29"/>
      <c r="E35" s="30"/>
      <c r="F35" s="30"/>
      <c r="G35" s="30"/>
      <c r="H35" s="30"/>
      <c r="I35" s="30"/>
      <c r="J35" s="30"/>
      <c r="K35" s="28"/>
      <c r="L35" s="28">
        <f t="shared" si="0"/>
        <v>0</v>
      </c>
      <c r="M35" s="28">
        <f t="shared" si="1"/>
        <v>0</v>
      </c>
      <c r="N35" s="28">
        <f t="shared" si="2"/>
        <v>0</v>
      </c>
      <c r="O35" s="28">
        <f t="shared" si="3"/>
        <v>0</v>
      </c>
      <c r="P35" s="42">
        <f t="shared" si="4"/>
        <v>0</v>
      </c>
      <c r="Q35" s="28"/>
      <c r="R35" s="28"/>
      <c r="S35" s="28"/>
      <c r="T35" s="8">
        <f t="shared" si="5"/>
        <v>0</v>
      </c>
      <c r="U35" s="43">
        <f t="shared" si="6"/>
        <v>0</v>
      </c>
      <c r="V35" s="13" t="e">
        <f>D35/$T$35*100</f>
        <v>#DIV/0!</v>
      </c>
      <c r="W35" s="4" t="e">
        <f>E35/$T$35*100</f>
        <v>#DIV/0!</v>
      </c>
      <c r="X35" s="4" t="e">
        <f>F35/$T$35*100</f>
        <v>#DIV/0!</v>
      </c>
      <c r="Y35" s="48" t="e">
        <f>G35/$T$35*100</f>
        <v>#DIV/0!</v>
      </c>
      <c r="AC35" s="14"/>
    </row>
    <row r="36" spans="1:29" x14ac:dyDescent="0.2">
      <c r="A36" s="1" t="s">
        <v>136</v>
      </c>
      <c r="B36" s="8" t="s">
        <v>33</v>
      </c>
      <c r="C36" s="13">
        <v>116.31998434140461</v>
      </c>
      <c r="D36" s="29"/>
      <c r="E36" s="30"/>
      <c r="F36" s="30"/>
      <c r="G36" s="30"/>
      <c r="H36" s="30"/>
      <c r="I36" s="30"/>
      <c r="J36" s="30"/>
      <c r="K36" s="28"/>
      <c r="L36" s="28">
        <f t="shared" si="0"/>
        <v>0</v>
      </c>
      <c r="M36" s="28">
        <f t="shared" si="1"/>
        <v>0</v>
      </c>
      <c r="N36" s="28">
        <f t="shared" si="2"/>
        <v>0</v>
      </c>
      <c r="O36" s="28">
        <f t="shared" si="3"/>
        <v>0</v>
      </c>
      <c r="P36" s="42">
        <f t="shared" si="4"/>
        <v>0</v>
      </c>
      <c r="Q36" s="28"/>
      <c r="R36" s="28"/>
      <c r="S36" s="28"/>
      <c r="T36" s="8">
        <f t="shared" si="5"/>
        <v>0</v>
      </c>
      <c r="U36" s="43">
        <f t="shared" si="6"/>
        <v>0</v>
      </c>
      <c r="V36" s="13" t="e">
        <f>D36/$T$36*100</f>
        <v>#DIV/0!</v>
      </c>
      <c r="W36" s="4" t="e">
        <f>E36/$T$36*100</f>
        <v>#DIV/0!</v>
      </c>
      <c r="X36" s="4" t="e">
        <f>F36/$T$36*100</f>
        <v>#DIV/0!</v>
      </c>
      <c r="Y36" s="48" t="e">
        <f>G36/$T$36*100</f>
        <v>#DIV/0!</v>
      </c>
      <c r="AC36" s="14"/>
    </row>
    <row r="37" spans="1:29" x14ac:dyDescent="0.2">
      <c r="A37" s="1" t="s">
        <v>138</v>
      </c>
      <c r="B37" s="8" t="s">
        <v>34</v>
      </c>
      <c r="C37" s="13">
        <v>75.56969360035805</v>
      </c>
      <c r="D37" s="29"/>
      <c r="E37" s="30"/>
      <c r="F37" s="30"/>
      <c r="G37" s="30"/>
      <c r="H37" s="30"/>
      <c r="I37" s="30"/>
      <c r="J37" s="30"/>
      <c r="K37" s="28"/>
      <c r="L37" s="28">
        <f t="shared" si="0"/>
        <v>0</v>
      </c>
      <c r="M37" s="28">
        <f t="shared" si="1"/>
        <v>0</v>
      </c>
      <c r="N37" s="28">
        <f t="shared" si="2"/>
        <v>0</v>
      </c>
      <c r="O37" s="28">
        <f t="shared" si="3"/>
        <v>0</v>
      </c>
      <c r="P37" s="42">
        <f t="shared" si="4"/>
        <v>0</v>
      </c>
      <c r="Q37" s="28"/>
      <c r="R37" s="28"/>
      <c r="S37" s="28"/>
      <c r="T37" s="8">
        <f t="shared" si="5"/>
        <v>0</v>
      </c>
      <c r="U37" s="43">
        <f t="shared" si="6"/>
        <v>0</v>
      </c>
      <c r="V37" s="13" t="e">
        <f>D37/$T$37*100</f>
        <v>#DIV/0!</v>
      </c>
      <c r="W37" s="4" t="e">
        <f>E37/$T$37*100</f>
        <v>#DIV/0!</v>
      </c>
      <c r="X37" s="4" t="e">
        <f>F37/$T$37*100</f>
        <v>#DIV/0!</v>
      </c>
      <c r="Y37" s="48" t="e">
        <f>G37/$T$37*100</f>
        <v>#DIV/0!</v>
      </c>
      <c r="AC37" s="14"/>
    </row>
    <row r="38" spans="1:29" x14ac:dyDescent="0.2">
      <c r="A38" s="1" t="s">
        <v>140</v>
      </c>
      <c r="B38" s="9" t="s">
        <v>35</v>
      </c>
      <c r="C38" s="15">
        <v>99.747880680763927</v>
      </c>
      <c r="D38" s="31"/>
      <c r="E38" s="32"/>
      <c r="F38" s="32"/>
      <c r="G38" s="32"/>
      <c r="H38" s="32"/>
      <c r="I38" s="32"/>
      <c r="J38" s="32"/>
      <c r="K38" s="33"/>
      <c r="L38" s="28">
        <f t="shared" si="0"/>
        <v>0</v>
      </c>
      <c r="M38" s="28">
        <f t="shared" si="1"/>
        <v>0</v>
      </c>
      <c r="N38" s="28">
        <f t="shared" si="2"/>
        <v>0</v>
      </c>
      <c r="O38" s="28">
        <f t="shared" si="3"/>
        <v>0</v>
      </c>
      <c r="P38" s="42">
        <f t="shared" si="4"/>
        <v>0</v>
      </c>
      <c r="Q38" s="28"/>
      <c r="R38" s="28"/>
      <c r="S38" s="28"/>
      <c r="T38" s="9">
        <f t="shared" si="5"/>
        <v>0</v>
      </c>
      <c r="U38" s="43">
        <f t="shared" si="6"/>
        <v>0</v>
      </c>
      <c r="V38" s="15" t="e">
        <f>D38/$T$38*100</f>
        <v>#DIV/0!</v>
      </c>
      <c r="W38" s="16" t="e">
        <f>E38/$T$38*100</f>
        <v>#DIV/0!</v>
      </c>
      <c r="X38" s="16" t="e">
        <f>F38/$T$38*100</f>
        <v>#DIV/0!</v>
      </c>
      <c r="Y38" s="49" t="e">
        <f>G38/$T$38*100</f>
        <v>#DIV/0!</v>
      </c>
      <c r="Z38" s="16"/>
      <c r="AA38" s="16"/>
      <c r="AB38" s="16"/>
      <c r="AC38" s="17"/>
    </row>
  </sheetData>
  <mergeCells count="7">
    <mergeCell ref="V1:AC1"/>
    <mergeCell ref="U1:U2"/>
    <mergeCell ref="A1:B2"/>
    <mergeCell ref="C1:C2"/>
    <mergeCell ref="D1:K1"/>
    <mergeCell ref="L1:S1"/>
    <mergeCell ref="T1:T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8"/>
  <sheetViews>
    <sheetView showGridLines="0" tabSelected="1" zoomScale="90" zoomScaleNormal="85" workbookViewId="0">
      <pane xSplit="2" topLeftCell="C1" activePane="topRight" state="frozen"/>
      <selection pane="topRight" activeCell="H20" sqref="H20"/>
    </sheetView>
  </sheetViews>
  <sheetFormatPr baseColWidth="10" defaultColWidth="8.6640625" defaultRowHeight="15" x14ac:dyDescent="0.2"/>
  <cols>
    <col min="1" max="1" width="21.5" style="50" bestFit="1" customWidth="1"/>
    <col min="2" max="2" width="9.6640625" style="4" bestFit="1" customWidth="1"/>
    <col min="3" max="3" width="7" style="4" bestFit="1" customWidth="1"/>
    <col min="4" max="19" width="8.6640625" style="4" bestFit="1" customWidth="1"/>
    <col min="20" max="20" width="14.33203125" style="4" bestFit="1" customWidth="1"/>
    <col min="21" max="21" width="21.83203125" style="4" bestFit="1" customWidth="1"/>
    <col min="22" max="22" width="6.83203125" style="4" bestFit="1" customWidth="1"/>
    <col min="23" max="25" width="4.6640625" style="4" bestFit="1" customWidth="1"/>
    <col min="26" max="26" width="5.6640625" style="4" bestFit="1" customWidth="1"/>
    <col min="27" max="28" width="4.6640625" style="4" bestFit="1" customWidth="1"/>
    <col min="29" max="29" width="5.6640625" style="4" bestFit="1" customWidth="1"/>
    <col min="30" max="16384" width="8.6640625" style="4"/>
  </cols>
  <sheetData>
    <row r="1" spans="1:29" x14ac:dyDescent="0.2">
      <c r="A1" s="121" t="s">
        <v>57</v>
      </c>
      <c r="B1" s="122"/>
      <c r="C1" s="125" t="s">
        <v>48</v>
      </c>
      <c r="D1" s="127" t="s">
        <v>46</v>
      </c>
      <c r="E1" s="127"/>
      <c r="F1" s="127"/>
      <c r="G1" s="127"/>
      <c r="H1" s="127"/>
      <c r="I1" s="127"/>
      <c r="J1" s="127"/>
      <c r="K1" s="127"/>
      <c r="L1" s="128" t="s">
        <v>49</v>
      </c>
      <c r="M1" s="129"/>
      <c r="N1" s="129"/>
      <c r="O1" s="129"/>
      <c r="P1" s="129"/>
      <c r="Q1" s="129"/>
      <c r="R1" s="129"/>
      <c r="S1" s="130"/>
      <c r="T1" s="119" t="s">
        <v>45</v>
      </c>
      <c r="U1" s="119" t="s">
        <v>141</v>
      </c>
      <c r="V1" s="117" t="s">
        <v>47</v>
      </c>
      <c r="W1" s="117"/>
      <c r="X1" s="117"/>
      <c r="Y1" s="117"/>
      <c r="Z1" s="117"/>
      <c r="AA1" s="117"/>
      <c r="AB1" s="117"/>
      <c r="AC1" s="118"/>
    </row>
    <row r="2" spans="1:29" x14ac:dyDescent="0.2">
      <c r="A2" s="123"/>
      <c r="B2" s="124"/>
      <c r="C2" s="126"/>
      <c r="D2" s="36" t="s">
        <v>36</v>
      </c>
      <c r="E2" s="37" t="s">
        <v>37</v>
      </c>
      <c r="F2" s="37" t="s">
        <v>38</v>
      </c>
      <c r="G2" s="37" t="s">
        <v>39</v>
      </c>
      <c r="H2" s="37" t="s">
        <v>40</v>
      </c>
      <c r="I2" s="37" t="s">
        <v>41</v>
      </c>
      <c r="J2" s="37" t="s">
        <v>42</v>
      </c>
      <c r="K2" s="38" t="s">
        <v>43</v>
      </c>
      <c r="L2" s="39" t="s">
        <v>36</v>
      </c>
      <c r="M2" s="40" t="s">
        <v>37</v>
      </c>
      <c r="N2" s="40" t="s">
        <v>38</v>
      </c>
      <c r="O2" s="40" t="s">
        <v>39</v>
      </c>
      <c r="P2" s="40" t="s">
        <v>40</v>
      </c>
      <c r="Q2" s="40" t="s">
        <v>41</v>
      </c>
      <c r="R2" s="40" t="s">
        <v>42</v>
      </c>
      <c r="S2" s="41" t="s">
        <v>43</v>
      </c>
      <c r="T2" s="120"/>
      <c r="U2" s="120"/>
      <c r="V2" s="34" t="s">
        <v>36</v>
      </c>
      <c r="W2" s="34" t="s">
        <v>37</v>
      </c>
      <c r="X2" s="34" t="s">
        <v>38</v>
      </c>
      <c r="Y2" s="34" t="s">
        <v>39</v>
      </c>
      <c r="Z2" s="34" t="s">
        <v>40</v>
      </c>
      <c r="AA2" s="34" t="s">
        <v>41</v>
      </c>
      <c r="AB2" s="34" t="s">
        <v>42</v>
      </c>
      <c r="AC2" s="35" t="s">
        <v>43</v>
      </c>
    </row>
    <row r="3" spans="1:29" x14ac:dyDescent="0.2">
      <c r="A3" s="1" t="s">
        <v>106</v>
      </c>
      <c r="B3" s="8" t="s">
        <v>0</v>
      </c>
      <c r="C3" s="13">
        <v>151.61856590318203</v>
      </c>
      <c r="D3" s="25">
        <v>4238053</v>
      </c>
      <c r="E3" s="26">
        <v>283372</v>
      </c>
      <c r="F3" s="26"/>
      <c r="G3" s="26"/>
      <c r="H3" s="26"/>
      <c r="I3" s="26"/>
      <c r="J3" s="26"/>
      <c r="K3" s="27"/>
      <c r="L3" s="28">
        <f>D3/$C3</f>
        <v>27952.071533945669</v>
      </c>
      <c r="M3" s="28">
        <f t="shared" ref="M3:S3" si="0">E3/$C3</f>
        <v>1868.979556111557</v>
      </c>
      <c r="N3" s="28">
        <f t="shared" si="0"/>
        <v>0</v>
      </c>
      <c r="O3" s="28">
        <f t="shared" si="0"/>
        <v>0</v>
      </c>
      <c r="P3" s="28">
        <f t="shared" si="0"/>
        <v>0</v>
      </c>
      <c r="Q3" s="28">
        <f t="shared" si="0"/>
        <v>0</v>
      </c>
      <c r="R3" s="28">
        <f t="shared" si="0"/>
        <v>0</v>
      </c>
      <c r="S3" s="42">
        <f t="shared" si="0"/>
        <v>0</v>
      </c>
      <c r="T3" s="8">
        <f>SUM(D3:K3)</f>
        <v>4521425</v>
      </c>
      <c r="U3" s="43">
        <f>SUM(L3:S3)</f>
        <v>29821.051090057226</v>
      </c>
      <c r="V3" s="10">
        <f t="shared" ref="V3:AC3" si="1">D3/$T$3*100</f>
        <v>93.732683833083598</v>
      </c>
      <c r="W3" s="11">
        <f t="shared" si="1"/>
        <v>6.2673161669164035</v>
      </c>
      <c r="X3" s="11">
        <f t="shared" si="1"/>
        <v>0</v>
      </c>
      <c r="Y3" s="11">
        <f t="shared" si="1"/>
        <v>0</v>
      </c>
      <c r="Z3" s="11">
        <f t="shared" si="1"/>
        <v>0</v>
      </c>
      <c r="AA3" s="11">
        <f t="shared" si="1"/>
        <v>0</v>
      </c>
      <c r="AB3" s="11">
        <f t="shared" si="1"/>
        <v>0</v>
      </c>
      <c r="AC3" s="44">
        <f t="shared" si="1"/>
        <v>0</v>
      </c>
    </row>
    <row r="4" spans="1:29" x14ac:dyDescent="0.2">
      <c r="A4" s="1" t="s">
        <v>108</v>
      </c>
      <c r="B4" s="8" t="s">
        <v>1</v>
      </c>
      <c r="C4" s="13">
        <v>144.60827361219867</v>
      </c>
      <c r="D4" s="29">
        <v>6093381</v>
      </c>
      <c r="E4" s="30">
        <v>376488</v>
      </c>
      <c r="F4" s="30"/>
      <c r="G4" s="30"/>
      <c r="H4" s="30"/>
      <c r="I4" s="30"/>
      <c r="J4" s="30"/>
      <c r="K4" s="28"/>
      <c r="L4" s="28">
        <f t="shared" ref="L4:L38" si="2">D4/$C4</f>
        <v>42137.153343942438</v>
      </c>
      <c r="M4" s="28">
        <f t="shared" ref="M4:M38" si="3">E4/$C4</f>
        <v>2603.5024870682137</v>
      </c>
      <c r="N4" s="28">
        <f t="shared" ref="N4:N38" si="4">F4/$C4</f>
        <v>0</v>
      </c>
      <c r="O4" s="28">
        <f t="shared" ref="O4:O38" si="5">G4/$C4</f>
        <v>0</v>
      </c>
      <c r="P4" s="28">
        <f t="shared" ref="P4:P38" si="6">H4/$C4</f>
        <v>0</v>
      </c>
      <c r="Q4" s="28">
        <f t="shared" ref="Q4:Q38" si="7">I4/$C4</f>
        <v>0</v>
      </c>
      <c r="R4" s="28">
        <f t="shared" ref="R4:R38" si="8">J4/$C4</f>
        <v>0</v>
      </c>
      <c r="S4" s="42">
        <f t="shared" ref="S4:S38" si="9">K4/$C4</f>
        <v>0</v>
      </c>
      <c r="T4" s="8">
        <f t="shared" ref="T4:T38" si="10">SUM(D4:K4)</f>
        <v>6469869</v>
      </c>
      <c r="U4" s="43">
        <f t="shared" ref="U4:U38" si="11">SUM(L4:S4)</f>
        <v>44740.655831010648</v>
      </c>
      <c r="V4" s="13">
        <f t="shared" ref="V4:AC4" si="12">D4/$T$4*100</f>
        <v>94.180902271746149</v>
      </c>
      <c r="W4" s="4">
        <f t="shared" si="12"/>
        <v>5.8190977282538494</v>
      </c>
      <c r="X4" s="4">
        <f t="shared" si="12"/>
        <v>0</v>
      </c>
      <c r="Y4" s="4">
        <f t="shared" si="12"/>
        <v>0</v>
      </c>
      <c r="Z4" s="4">
        <f t="shared" si="12"/>
        <v>0</v>
      </c>
      <c r="AA4" s="4">
        <f t="shared" si="12"/>
        <v>0</v>
      </c>
      <c r="AB4" s="4">
        <f t="shared" si="12"/>
        <v>0</v>
      </c>
      <c r="AC4" s="45">
        <f t="shared" si="12"/>
        <v>0</v>
      </c>
    </row>
    <row r="5" spans="1:29" ht="16" x14ac:dyDescent="0.2">
      <c r="A5" s="52" t="s">
        <v>110</v>
      </c>
      <c r="B5" s="8" t="s">
        <v>2</v>
      </c>
      <c r="C5" s="13">
        <v>126.18510720293932</v>
      </c>
      <c r="D5" s="29">
        <v>5967014</v>
      </c>
      <c r="E5" s="30">
        <v>391574</v>
      </c>
      <c r="F5" s="30"/>
      <c r="G5" s="30"/>
      <c r="H5" s="30"/>
      <c r="I5" s="30"/>
      <c r="J5" s="30"/>
      <c r="K5" s="28"/>
      <c r="L5" s="28">
        <f t="shared" si="2"/>
        <v>47287.783259584263</v>
      </c>
      <c r="M5" s="28">
        <f t="shared" si="3"/>
        <v>3103.1712749607173</v>
      </c>
      <c r="N5" s="28">
        <f t="shared" si="4"/>
        <v>0</v>
      </c>
      <c r="O5" s="28">
        <f t="shared" si="5"/>
        <v>0</v>
      </c>
      <c r="P5" s="28">
        <f t="shared" si="6"/>
        <v>0</v>
      </c>
      <c r="Q5" s="28">
        <f t="shared" si="7"/>
        <v>0</v>
      </c>
      <c r="R5" s="28">
        <f t="shared" si="8"/>
        <v>0</v>
      </c>
      <c r="S5" s="42">
        <f t="shared" si="9"/>
        <v>0</v>
      </c>
      <c r="T5" s="8">
        <f t="shared" si="10"/>
        <v>6358588</v>
      </c>
      <c r="U5" s="43">
        <f t="shared" si="11"/>
        <v>50390.954534544981</v>
      </c>
      <c r="V5" s="13">
        <f t="shared" ref="V5:AC5" si="13">D5/$T$5*100</f>
        <v>93.841808904744255</v>
      </c>
      <c r="W5" s="4">
        <f t="shared" si="13"/>
        <v>6.1581910952557388</v>
      </c>
      <c r="X5" s="4">
        <f t="shared" si="13"/>
        <v>0</v>
      </c>
      <c r="Y5" s="4">
        <f t="shared" si="13"/>
        <v>0</v>
      </c>
      <c r="Z5" s="4">
        <f t="shared" si="13"/>
        <v>0</v>
      </c>
      <c r="AA5" s="4">
        <f t="shared" si="13"/>
        <v>0</v>
      </c>
      <c r="AB5" s="4">
        <f t="shared" si="13"/>
        <v>0</v>
      </c>
      <c r="AC5" s="45">
        <f t="shared" si="13"/>
        <v>0</v>
      </c>
    </row>
    <row r="6" spans="1:29" ht="16" x14ac:dyDescent="0.2">
      <c r="A6" s="52" t="s">
        <v>112</v>
      </c>
      <c r="B6" s="8" t="s">
        <v>3</v>
      </c>
      <c r="C6" s="13">
        <v>139.22341121667353</v>
      </c>
      <c r="D6" s="29">
        <v>4113127</v>
      </c>
      <c r="E6" s="30">
        <v>285843</v>
      </c>
      <c r="F6" s="30">
        <v>27217</v>
      </c>
      <c r="G6" s="30">
        <v>6752</v>
      </c>
      <c r="H6" s="30">
        <v>14261</v>
      </c>
      <c r="I6" s="30">
        <v>34237</v>
      </c>
      <c r="J6" s="30">
        <v>9459</v>
      </c>
      <c r="K6" s="28">
        <v>384726</v>
      </c>
      <c r="L6" s="28">
        <f t="shared" si="2"/>
        <v>29543.357428577416</v>
      </c>
      <c r="M6" s="28">
        <f t="shared" si="3"/>
        <v>2053.1245248339897</v>
      </c>
      <c r="N6" s="28">
        <f t="shared" si="4"/>
        <v>195.49154673162084</v>
      </c>
      <c r="O6" s="28">
        <f t="shared" si="5"/>
        <v>48.497590606308705</v>
      </c>
      <c r="P6" s="28">
        <f t="shared" si="6"/>
        <v>102.4324851357477</v>
      </c>
      <c r="Q6" s="28">
        <f t="shared" si="7"/>
        <v>245.91410094611837</v>
      </c>
      <c r="R6" s="28">
        <f t="shared" si="8"/>
        <v>67.941159589021623</v>
      </c>
      <c r="S6" s="42">
        <f t="shared" si="9"/>
        <v>2763.3714519553796</v>
      </c>
      <c r="T6" s="8">
        <f t="shared" si="10"/>
        <v>4875622</v>
      </c>
      <c r="U6" s="43">
        <f t="shared" si="11"/>
        <v>35020.130288375607</v>
      </c>
      <c r="V6" s="13">
        <f t="shared" ref="V6:AC6" si="14">D6/$T$6*100</f>
        <v>84.361072289853482</v>
      </c>
      <c r="W6" s="4">
        <f t="shared" si="14"/>
        <v>5.862698133694531</v>
      </c>
      <c r="X6" s="4">
        <f t="shared" si="14"/>
        <v>0.55822621195818711</v>
      </c>
      <c r="Y6" s="4">
        <f t="shared" si="14"/>
        <v>0.1384848948503391</v>
      </c>
      <c r="Z6" s="4">
        <f t="shared" si="14"/>
        <v>0.29249601384192619</v>
      </c>
      <c r="AA6" s="4">
        <f t="shared" si="14"/>
        <v>0.7022078413790076</v>
      </c>
      <c r="AB6" s="4">
        <f t="shared" si="14"/>
        <v>0.19400601605292617</v>
      </c>
      <c r="AC6" s="45">
        <f t="shared" si="14"/>
        <v>7.8908085983696026</v>
      </c>
    </row>
    <row r="7" spans="1:29" ht="16" x14ac:dyDescent="0.2">
      <c r="A7" s="52" t="s">
        <v>114</v>
      </c>
      <c r="B7" s="8" t="s">
        <v>4</v>
      </c>
      <c r="C7" s="13">
        <v>151.90975415986941</v>
      </c>
      <c r="D7" s="29">
        <v>6531244</v>
      </c>
      <c r="E7" s="30">
        <v>421402</v>
      </c>
      <c r="F7" s="30">
        <v>38959</v>
      </c>
      <c r="G7" s="30"/>
      <c r="H7" s="30">
        <v>38309</v>
      </c>
      <c r="I7" s="30">
        <v>48240</v>
      </c>
      <c r="J7" s="30"/>
      <c r="K7" s="28">
        <v>587228</v>
      </c>
      <c r="L7" s="28">
        <f t="shared" si="2"/>
        <v>42994.237177992778</v>
      </c>
      <c r="M7" s="28">
        <f t="shared" si="3"/>
        <v>2774.0285824998286</v>
      </c>
      <c r="N7" s="28">
        <f t="shared" si="4"/>
        <v>256.46147750986194</v>
      </c>
      <c r="O7" s="28">
        <f t="shared" si="5"/>
        <v>0</v>
      </c>
      <c r="P7" s="28">
        <f t="shared" si="6"/>
        <v>252.18262126659565</v>
      </c>
      <c r="Q7" s="28">
        <f t="shared" si="7"/>
        <v>317.55696180794524</v>
      </c>
      <c r="R7" s="28">
        <f t="shared" si="8"/>
        <v>0</v>
      </c>
      <c r="S7" s="42">
        <f t="shared" si="9"/>
        <v>3865.6372215703996</v>
      </c>
      <c r="T7" s="8">
        <f t="shared" si="10"/>
        <v>7665382</v>
      </c>
      <c r="U7" s="43">
        <f t="shared" si="11"/>
        <v>50460.104042647406</v>
      </c>
      <c r="V7" s="13">
        <f t="shared" ref="V7:AC7" si="15">D7/$T$7*100</f>
        <v>85.204416426996076</v>
      </c>
      <c r="W7" s="4">
        <f t="shared" si="15"/>
        <v>5.4974690106768325</v>
      </c>
      <c r="X7" s="4">
        <f t="shared" si="15"/>
        <v>0.50824603392237988</v>
      </c>
      <c r="Y7" s="4">
        <f t="shared" si="15"/>
        <v>0</v>
      </c>
      <c r="Z7" s="4">
        <f t="shared" si="15"/>
        <v>0.49976635215309556</v>
      </c>
      <c r="AA7" s="4">
        <f t="shared" si="15"/>
        <v>0.62932284392349913</v>
      </c>
      <c r="AB7" s="4">
        <f t="shared" si="15"/>
        <v>0</v>
      </c>
      <c r="AC7" s="45">
        <f t="shared" si="15"/>
        <v>7.6607793323281212</v>
      </c>
    </row>
    <row r="8" spans="1:29" ht="17" thickBot="1" x14ac:dyDescent="0.25">
      <c r="A8" s="52" t="s">
        <v>116</v>
      </c>
      <c r="B8" s="8" t="s">
        <v>5</v>
      </c>
      <c r="C8" s="13">
        <v>108.99908875208385</v>
      </c>
      <c r="D8" s="29">
        <v>6244195</v>
      </c>
      <c r="E8" s="30">
        <v>393241</v>
      </c>
      <c r="F8" s="30">
        <v>18788</v>
      </c>
      <c r="G8" s="30"/>
      <c r="H8" s="30">
        <v>33401</v>
      </c>
      <c r="I8" s="30">
        <v>57597</v>
      </c>
      <c r="J8" s="30">
        <v>21113</v>
      </c>
      <c r="K8" s="28">
        <v>622963</v>
      </c>
      <c r="L8" s="28">
        <f t="shared" si="2"/>
        <v>57286.671581285336</v>
      </c>
      <c r="M8" s="28">
        <f t="shared" si="3"/>
        <v>3607.74575734682</v>
      </c>
      <c r="N8" s="28">
        <f t="shared" si="4"/>
        <v>172.3684134895193</v>
      </c>
      <c r="O8" s="28">
        <f t="shared" si="5"/>
        <v>0</v>
      </c>
      <c r="P8" s="28">
        <f t="shared" si="6"/>
        <v>306.43375446899262</v>
      </c>
      <c r="Q8" s="28">
        <f t="shared" si="7"/>
        <v>528.41726164338104</v>
      </c>
      <c r="R8" s="28">
        <f t="shared" si="8"/>
        <v>193.69886704301791</v>
      </c>
      <c r="S8" s="42">
        <f t="shared" si="9"/>
        <v>5715.3046610959873</v>
      </c>
      <c r="T8" s="8">
        <f t="shared" si="10"/>
        <v>7391298</v>
      </c>
      <c r="U8" s="43">
        <f t="shared" si="11"/>
        <v>67810.640296373051</v>
      </c>
      <c r="V8" s="13">
        <f t="shared" ref="V8:AC8" si="16">D8/$T$8*100</f>
        <v>84.480357847836743</v>
      </c>
      <c r="W8" s="4">
        <f t="shared" si="16"/>
        <v>5.3203239809841252</v>
      </c>
      <c r="X8" s="4">
        <f t="shared" si="16"/>
        <v>0.25419080654033976</v>
      </c>
      <c r="Y8" s="4">
        <f t="shared" si="16"/>
        <v>0</v>
      </c>
      <c r="Z8" s="4">
        <f t="shared" si="16"/>
        <v>0.45189627045209108</v>
      </c>
      <c r="AA8" s="4">
        <f t="shared" si="16"/>
        <v>0.7792541986536059</v>
      </c>
      <c r="AB8" s="4">
        <f t="shared" si="16"/>
        <v>0.285646715908356</v>
      </c>
      <c r="AC8" s="45">
        <f t="shared" si="16"/>
        <v>8.4283301796247425</v>
      </c>
    </row>
    <row r="9" spans="1:29" s="95" customFormat="1" x14ac:dyDescent="0.2">
      <c r="A9" s="109" t="s">
        <v>118</v>
      </c>
      <c r="B9" s="88" t="s">
        <v>6</v>
      </c>
      <c r="C9" s="89">
        <v>156.73380954252787</v>
      </c>
      <c r="D9" s="90">
        <v>2735504</v>
      </c>
      <c r="E9" s="91">
        <v>210763</v>
      </c>
      <c r="F9" s="91">
        <v>14627</v>
      </c>
      <c r="G9" s="91">
        <v>4539</v>
      </c>
      <c r="H9" s="91">
        <v>183120</v>
      </c>
      <c r="I9" s="91">
        <v>48518</v>
      </c>
      <c r="J9" s="91">
        <v>69094</v>
      </c>
      <c r="K9" s="92">
        <v>1467236</v>
      </c>
      <c r="L9" s="92">
        <f t="shared" si="2"/>
        <v>17453.183891748344</v>
      </c>
      <c r="M9" s="92">
        <f t="shared" si="3"/>
        <v>1344.7194361903898</v>
      </c>
      <c r="N9" s="92">
        <f t="shared" si="4"/>
        <v>93.323833847292136</v>
      </c>
      <c r="O9" s="92">
        <f t="shared" si="5"/>
        <v>28.959929023918711</v>
      </c>
      <c r="P9" s="92">
        <f t="shared" si="6"/>
        <v>1168.3503421150019</v>
      </c>
      <c r="Q9" s="92">
        <f t="shared" si="7"/>
        <v>309.55669451035203</v>
      </c>
      <c r="R9" s="92">
        <f t="shared" si="8"/>
        <v>440.83660188998442</v>
      </c>
      <c r="S9" s="93">
        <f t="shared" si="9"/>
        <v>9361.3241730201353</v>
      </c>
      <c r="T9" s="88">
        <f t="shared" si="10"/>
        <v>4733401</v>
      </c>
      <c r="U9" s="94">
        <f t="shared" si="11"/>
        <v>30200.254902345419</v>
      </c>
      <c r="V9" s="89">
        <f t="shared" ref="V9:AC9" si="17">D9/$T$9*100</f>
        <v>57.791511853738996</v>
      </c>
      <c r="W9" s="95">
        <f t="shared" si="17"/>
        <v>4.4526757821701564</v>
      </c>
      <c r="X9" s="95">
        <f t="shared" si="17"/>
        <v>0.30901670912732726</v>
      </c>
      <c r="Y9" s="95">
        <f t="shared" si="17"/>
        <v>9.5892995332531511E-2</v>
      </c>
      <c r="Z9" s="95">
        <f t="shared" si="17"/>
        <v>3.8686770886303528</v>
      </c>
      <c r="AA9" s="95">
        <f t="shared" si="17"/>
        <v>1.0250135156518536</v>
      </c>
      <c r="AB9" s="95">
        <f t="shared" si="17"/>
        <v>1.4597115266591612</v>
      </c>
      <c r="AC9" s="115">
        <f t="shared" si="17"/>
        <v>30.997500528689624</v>
      </c>
    </row>
    <row r="10" spans="1:29" x14ac:dyDescent="0.2">
      <c r="A10" s="110" t="s">
        <v>120</v>
      </c>
      <c r="B10" s="8" t="s">
        <v>7</v>
      </c>
      <c r="C10" s="13">
        <v>145.0979296286427</v>
      </c>
      <c r="D10" s="29">
        <v>3751036</v>
      </c>
      <c r="E10" s="30">
        <v>280574</v>
      </c>
      <c r="F10" s="30">
        <v>16253</v>
      </c>
      <c r="G10" s="30"/>
      <c r="H10" s="30">
        <v>271053</v>
      </c>
      <c r="I10" s="30">
        <v>69131</v>
      </c>
      <c r="J10" s="30">
        <v>65488</v>
      </c>
      <c r="K10" s="28">
        <v>2175232</v>
      </c>
      <c r="L10" s="28">
        <f t="shared" si="2"/>
        <v>25851.754119443591</v>
      </c>
      <c r="M10" s="28">
        <f t="shared" si="3"/>
        <v>1933.6871361161998</v>
      </c>
      <c r="N10" s="28">
        <f t="shared" si="4"/>
        <v>112.01400351884564</v>
      </c>
      <c r="O10" s="28">
        <f t="shared" si="5"/>
        <v>0</v>
      </c>
      <c r="P10" s="28">
        <f t="shared" si="6"/>
        <v>1868.0693838548984</v>
      </c>
      <c r="Q10" s="28">
        <f t="shared" si="7"/>
        <v>476.44373821825616</v>
      </c>
      <c r="R10" s="28">
        <f t="shared" si="8"/>
        <v>451.33655709359277</v>
      </c>
      <c r="S10" s="42">
        <f t="shared" si="9"/>
        <v>14991.475106276112</v>
      </c>
      <c r="T10" s="8">
        <f t="shared" si="10"/>
        <v>6628767</v>
      </c>
      <c r="U10" s="43">
        <f t="shared" si="11"/>
        <v>45684.780044521496</v>
      </c>
      <c r="V10" s="13">
        <f t="shared" ref="V10:AC10" si="18">D10/$T$10*100</f>
        <v>56.587235605052946</v>
      </c>
      <c r="W10" s="4">
        <f t="shared" si="18"/>
        <v>4.2326725317091398</v>
      </c>
      <c r="X10" s="4">
        <f t="shared" si="18"/>
        <v>0.24518888656065296</v>
      </c>
      <c r="Y10" s="4">
        <f t="shared" si="18"/>
        <v>0</v>
      </c>
      <c r="Z10" s="4">
        <f t="shared" si="18"/>
        <v>4.089040993596547</v>
      </c>
      <c r="AA10" s="4">
        <f t="shared" si="18"/>
        <v>1.0428937991032119</v>
      </c>
      <c r="AB10" s="4">
        <f t="shared" si="18"/>
        <v>0.98793636886015146</v>
      </c>
      <c r="AC10" s="45">
        <f t="shared" si="18"/>
        <v>32.815031815117351</v>
      </c>
    </row>
    <row r="11" spans="1:29" s="106" customFormat="1" ht="17" thickBot="1" x14ac:dyDescent="0.25">
      <c r="A11" s="98" t="s">
        <v>122</v>
      </c>
      <c r="B11" s="99" t="s">
        <v>8</v>
      </c>
      <c r="C11" s="100">
        <v>127.74830304604941</v>
      </c>
      <c r="D11" s="101">
        <v>3985606</v>
      </c>
      <c r="E11" s="102">
        <v>263426</v>
      </c>
      <c r="F11" s="102">
        <v>22382</v>
      </c>
      <c r="G11" s="102">
        <v>16000</v>
      </c>
      <c r="H11" s="102">
        <v>277061</v>
      </c>
      <c r="I11" s="102">
        <v>69147</v>
      </c>
      <c r="J11" s="102">
        <v>85704</v>
      </c>
      <c r="K11" s="103">
        <v>2349193</v>
      </c>
      <c r="L11" s="103">
        <f t="shared" si="2"/>
        <v>31198.895836317366</v>
      </c>
      <c r="M11" s="103">
        <f t="shared" si="3"/>
        <v>2062.0704441376638</v>
      </c>
      <c r="N11" s="103">
        <f t="shared" si="4"/>
        <v>175.20389286057258</v>
      </c>
      <c r="O11" s="103">
        <f t="shared" si="5"/>
        <v>125.24628209137528</v>
      </c>
      <c r="P11" s="103">
        <f t="shared" si="6"/>
        <v>2168.8037601574079</v>
      </c>
      <c r="Q11" s="103">
        <f t="shared" si="7"/>
        <v>541.27529173577034</v>
      </c>
      <c r="R11" s="103">
        <f t="shared" si="8"/>
        <v>670.88171002245167</v>
      </c>
      <c r="S11" s="104">
        <f t="shared" si="9"/>
        <v>18389.23057281776</v>
      </c>
      <c r="T11" s="99">
        <f t="shared" si="10"/>
        <v>7068519</v>
      </c>
      <c r="U11" s="105">
        <f t="shared" si="11"/>
        <v>55331.607790140384</v>
      </c>
      <c r="V11" s="100">
        <f t="shared" ref="V11:AC11" si="19">D11/$T$11*100</f>
        <v>56.38530504056083</v>
      </c>
      <c r="W11" s="106">
        <f t="shared" si="19"/>
        <v>3.7267495496581393</v>
      </c>
      <c r="X11" s="106">
        <f t="shared" si="19"/>
        <v>0.31664341568580351</v>
      </c>
      <c r="Y11" s="106">
        <f t="shared" si="19"/>
        <v>0.22635576136953156</v>
      </c>
      <c r="Z11" s="106">
        <f t="shared" si="19"/>
        <v>3.9196471000502364</v>
      </c>
      <c r="AA11" s="106">
        <f t="shared" si="19"/>
        <v>0.97823886446368746</v>
      </c>
      <c r="AB11" s="106">
        <f t="shared" si="19"/>
        <v>1.2124746357758958</v>
      </c>
      <c r="AC11" s="116">
        <f t="shared" si="19"/>
        <v>33.234585632435873</v>
      </c>
    </row>
    <row r="12" spans="1:29" x14ac:dyDescent="0.2">
      <c r="A12" s="1" t="s">
        <v>124</v>
      </c>
      <c r="B12" s="8" t="s">
        <v>9</v>
      </c>
      <c r="C12" s="13">
        <v>130.41766483297067</v>
      </c>
      <c r="D12" s="29">
        <v>16569765</v>
      </c>
      <c r="E12" s="30">
        <v>1091594</v>
      </c>
      <c r="F12" s="30"/>
      <c r="G12" s="30"/>
      <c r="H12" s="30"/>
      <c r="I12" s="30"/>
      <c r="J12" s="30"/>
      <c r="K12" s="28"/>
      <c r="L12" s="28">
        <f t="shared" si="2"/>
        <v>127051.53877138755</v>
      </c>
      <c r="M12" s="28">
        <f t="shared" si="3"/>
        <v>8369.9857791353115</v>
      </c>
      <c r="N12" s="28">
        <f t="shared" si="4"/>
        <v>0</v>
      </c>
      <c r="O12" s="28">
        <f t="shared" si="5"/>
        <v>0</v>
      </c>
      <c r="P12" s="28">
        <f t="shared" si="6"/>
        <v>0</v>
      </c>
      <c r="Q12" s="28">
        <f t="shared" si="7"/>
        <v>0</v>
      </c>
      <c r="R12" s="28">
        <f t="shared" si="8"/>
        <v>0</v>
      </c>
      <c r="S12" s="42">
        <f t="shared" si="9"/>
        <v>0</v>
      </c>
      <c r="T12" s="8">
        <f t="shared" si="10"/>
        <v>17661359</v>
      </c>
      <c r="U12" s="43">
        <f t="shared" si="11"/>
        <v>135421.52455052285</v>
      </c>
      <c r="V12" s="13">
        <f t="shared" ref="V12:AC12" si="20">D12/$T$12*100</f>
        <v>93.81930914829374</v>
      </c>
      <c r="W12" s="4">
        <f t="shared" si="20"/>
        <v>6.1806908517062586</v>
      </c>
      <c r="X12" s="4">
        <f t="shared" si="20"/>
        <v>0</v>
      </c>
      <c r="Y12" s="4">
        <f t="shared" si="20"/>
        <v>0</v>
      </c>
      <c r="Z12" s="4">
        <f t="shared" si="20"/>
        <v>0</v>
      </c>
      <c r="AA12" s="4">
        <f t="shared" si="20"/>
        <v>0</v>
      </c>
      <c r="AB12" s="4">
        <f t="shared" si="20"/>
        <v>0</v>
      </c>
      <c r="AC12" s="45">
        <f t="shared" si="20"/>
        <v>0</v>
      </c>
    </row>
    <row r="13" spans="1:29" x14ac:dyDescent="0.2">
      <c r="A13" s="1" t="s">
        <v>126</v>
      </c>
      <c r="B13" s="8" t="s">
        <v>10</v>
      </c>
      <c r="C13" s="13">
        <v>125.39322005484902</v>
      </c>
      <c r="D13" s="29">
        <v>13420696</v>
      </c>
      <c r="E13" s="30">
        <v>787293</v>
      </c>
      <c r="F13" s="30">
        <v>5672</v>
      </c>
      <c r="G13" s="30"/>
      <c r="H13" s="30"/>
      <c r="I13" s="30"/>
      <c r="J13" s="30"/>
      <c r="K13" s="28"/>
      <c r="L13" s="28">
        <f t="shared" si="2"/>
        <v>107028.88078103082</v>
      </c>
      <c r="M13" s="28">
        <f t="shared" si="3"/>
        <v>6278.5930503708678</v>
      </c>
      <c r="N13" s="28">
        <f t="shared" si="4"/>
        <v>45.233705598428493</v>
      </c>
      <c r="O13" s="28">
        <f t="shared" si="5"/>
        <v>0</v>
      </c>
      <c r="P13" s="28">
        <f t="shared" si="6"/>
        <v>0</v>
      </c>
      <c r="Q13" s="28">
        <f t="shared" si="7"/>
        <v>0</v>
      </c>
      <c r="R13" s="28">
        <f t="shared" si="8"/>
        <v>0</v>
      </c>
      <c r="S13" s="42">
        <f t="shared" si="9"/>
        <v>0</v>
      </c>
      <c r="T13" s="8">
        <f t="shared" si="10"/>
        <v>14213661</v>
      </c>
      <c r="U13" s="43">
        <f t="shared" si="11"/>
        <v>113352.70753700011</v>
      </c>
      <c r="V13" s="13">
        <f t="shared" ref="V13:AC13" si="21">D13/$T$13*100</f>
        <v>94.421106567829355</v>
      </c>
      <c r="W13" s="4">
        <f t="shared" si="21"/>
        <v>5.53898816075605</v>
      </c>
      <c r="X13" s="4">
        <f t="shared" si="21"/>
        <v>3.9905271414591922E-2</v>
      </c>
      <c r="Y13" s="4">
        <f t="shared" si="21"/>
        <v>0</v>
      </c>
      <c r="Z13" s="4">
        <f t="shared" si="21"/>
        <v>0</v>
      </c>
      <c r="AA13" s="4">
        <f t="shared" si="21"/>
        <v>0</v>
      </c>
      <c r="AB13" s="4">
        <f t="shared" si="21"/>
        <v>0</v>
      </c>
      <c r="AC13" s="45">
        <f t="shared" si="21"/>
        <v>0</v>
      </c>
    </row>
    <row r="14" spans="1:29" x14ac:dyDescent="0.2">
      <c r="A14" s="1" t="s">
        <v>128</v>
      </c>
      <c r="B14" s="8" t="s">
        <v>11</v>
      </c>
      <c r="C14" s="13">
        <v>122.16499836554055</v>
      </c>
      <c r="D14" s="29">
        <v>12826571</v>
      </c>
      <c r="E14" s="30">
        <v>801313</v>
      </c>
      <c r="F14" s="30">
        <v>11702</v>
      </c>
      <c r="G14" s="30"/>
      <c r="H14" s="30"/>
      <c r="I14" s="30"/>
      <c r="J14" s="30"/>
      <c r="K14" s="28"/>
      <c r="L14" s="28">
        <f t="shared" si="2"/>
        <v>104993.82942420624</v>
      </c>
      <c r="M14" s="28">
        <f t="shared" si="3"/>
        <v>6559.268290597618</v>
      </c>
      <c r="N14" s="28">
        <f t="shared" si="4"/>
        <v>95.788484071234748</v>
      </c>
      <c r="O14" s="28">
        <f t="shared" si="5"/>
        <v>0</v>
      </c>
      <c r="P14" s="28">
        <f t="shared" si="6"/>
        <v>0</v>
      </c>
      <c r="Q14" s="28">
        <f t="shared" si="7"/>
        <v>0</v>
      </c>
      <c r="R14" s="28">
        <f t="shared" si="8"/>
        <v>0</v>
      </c>
      <c r="S14" s="42">
        <f t="shared" si="9"/>
        <v>0</v>
      </c>
      <c r="T14" s="8">
        <f t="shared" si="10"/>
        <v>13639586</v>
      </c>
      <c r="U14" s="43">
        <f t="shared" si="11"/>
        <v>111648.88619887509</v>
      </c>
      <c r="V14" s="13">
        <f t="shared" ref="V14:AC14" si="22">D14/$T$14*100</f>
        <v>94.039298553489829</v>
      </c>
      <c r="W14" s="4">
        <f t="shared" si="22"/>
        <v>5.8749070536305137</v>
      </c>
      <c r="X14" s="4">
        <f t="shared" si="22"/>
        <v>8.5794392879666573E-2</v>
      </c>
      <c r="Y14" s="4">
        <f t="shared" si="22"/>
        <v>0</v>
      </c>
      <c r="Z14" s="4">
        <f t="shared" si="22"/>
        <v>0</v>
      </c>
      <c r="AA14" s="4">
        <f t="shared" si="22"/>
        <v>0</v>
      </c>
      <c r="AB14" s="4">
        <f t="shared" si="22"/>
        <v>0</v>
      </c>
      <c r="AC14" s="45">
        <f t="shared" si="22"/>
        <v>0</v>
      </c>
    </row>
    <row r="15" spans="1:29" x14ac:dyDescent="0.2">
      <c r="A15" s="1" t="s">
        <v>130</v>
      </c>
      <c r="B15" s="8" t="s">
        <v>12</v>
      </c>
      <c r="C15" s="13">
        <v>146.87068065753425</v>
      </c>
      <c r="D15" s="29">
        <v>13898574</v>
      </c>
      <c r="E15" s="30">
        <v>824520</v>
      </c>
      <c r="F15" s="30"/>
      <c r="G15" s="30"/>
      <c r="H15" s="30">
        <v>13794</v>
      </c>
      <c r="I15" s="30"/>
      <c r="J15" s="30"/>
      <c r="K15" s="28">
        <v>295351</v>
      </c>
      <c r="L15" s="28">
        <f t="shared" si="2"/>
        <v>94631.371882915177</v>
      </c>
      <c r="M15" s="28">
        <f t="shared" si="3"/>
        <v>5613.918287221496</v>
      </c>
      <c r="N15" s="28">
        <f t="shared" si="4"/>
        <v>0</v>
      </c>
      <c r="O15" s="28">
        <f t="shared" si="5"/>
        <v>0</v>
      </c>
      <c r="P15" s="28">
        <f t="shared" si="6"/>
        <v>93.9193577523084</v>
      </c>
      <c r="Q15" s="28">
        <f t="shared" si="7"/>
        <v>0</v>
      </c>
      <c r="R15" s="28">
        <f t="shared" si="8"/>
        <v>0</v>
      </c>
      <c r="S15" s="42">
        <f t="shared" si="9"/>
        <v>2010.959564412211</v>
      </c>
      <c r="T15" s="8">
        <f t="shared" si="10"/>
        <v>15032239</v>
      </c>
      <c r="U15" s="43">
        <f t="shared" si="11"/>
        <v>102350.16909230121</v>
      </c>
      <c r="V15" s="13">
        <f t="shared" ref="V15:AC15" si="23">D15/$T$15*100</f>
        <v>92.458442152230276</v>
      </c>
      <c r="W15" s="4">
        <f t="shared" si="23"/>
        <v>5.4850112481580418</v>
      </c>
      <c r="X15" s="4">
        <f t="shared" si="23"/>
        <v>0</v>
      </c>
      <c r="Y15" s="4">
        <f t="shared" si="23"/>
        <v>0</v>
      </c>
      <c r="Z15" s="4">
        <f t="shared" si="23"/>
        <v>9.1762777321462222E-2</v>
      </c>
      <c r="AA15" s="4">
        <f t="shared" si="23"/>
        <v>0</v>
      </c>
      <c r="AB15" s="4">
        <f t="shared" si="23"/>
        <v>0</v>
      </c>
      <c r="AC15" s="45">
        <f t="shared" si="23"/>
        <v>1.9647838222902125</v>
      </c>
    </row>
    <row r="16" spans="1:29" x14ac:dyDescent="0.2">
      <c r="A16" s="1" t="s">
        <v>132</v>
      </c>
      <c r="B16" s="8" t="s">
        <v>13</v>
      </c>
      <c r="C16" s="13">
        <v>130.89217923422584</v>
      </c>
      <c r="D16" s="29">
        <v>19126497</v>
      </c>
      <c r="E16" s="30">
        <v>1260317</v>
      </c>
      <c r="F16" s="30"/>
      <c r="G16" s="30">
        <v>4154</v>
      </c>
      <c r="H16" s="30"/>
      <c r="I16" s="30">
        <v>30804</v>
      </c>
      <c r="J16" s="30">
        <v>23300</v>
      </c>
      <c r="K16" s="28">
        <v>326248</v>
      </c>
      <c r="L16" s="28">
        <f t="shared" si="2"/>
        <v>146124.06265903762</v>
      </c>
      <c r="M16" s="28">
        <f t="shared" si="3"/>
        <v>9628.6654204505048</v>
      </c>
      <c r="N16" s="28">
        <f t="shared" si="4"/>
        <v>0</v>
      </c>
      <c r="O16" s="28">
        <f t="shared" si="5"/>
        <v>31.736044309924726</v>
      </c>
      <c r="P16" s="28">
        <f t="shared" si="6"/>
        <v>0</v>
      </c>
      <c r="Q16" s="28">
        <f t="shared" si="7"/>
        <v>235.33873589863293</v>
      </c>
      <c r="R16" s="28">
        <f t="shared" si="8"/>
        <v>178.00910746780119</v>
      </c>
      <c r="S16" s="42">
        <f t="shared" si="9"/>
        <v>2492.4942185903519</v>
      </c>
      <c r="T16" s="8">
        <f t="shared" si="10"/>
        <v>20771320</v>
      </c>
      <c r="U16" s="43">
        <f t="shared" si="11"/>
        <v>158690.30618575483</v>
      </c>
      <c r="V16" s="13">
        <f t="shared" ref="V16:AC16" si="24">D16/$T$16*100</f>
        <v>92.081278416585945</v>
      </c>
      <c r="W16" s="4">
        <f t="shared" si="24"/>
        <v>6.0675826090975447</v>
      </c>
      <c r="X16" s="4">
        <f t="shared" si="24"/>
        <v>0</v>
      </c>
      <c r="Y16" s="4">
        <f t="shared" si="24"/>
        <v>1.999872901674039E-2</v>
      </c>
      <c r="Z16" s="4">
        <f t="shared" si="24"/>
        <v>0</v>
      </c>
      <c r="AA16" s="4">
        <f t="shared" si="24"/>
        <v>0.14830063760993525</v>
      </c>
      <c r="AB16" s="4">
        <f t="shared" si="24"/>
        <v>0.11217390132163001</v>
      </c>
      <c r="AC16" s="45">
        <f t="shared" si="24"/>
        <v>1.5706657063682037</v>
      </c>
    </row>
    <row r="17" spans="1:29" ht="16" thickBot="1" x14ac:dyDescent="0.25">
      <c r="A17" s="1" t="s">
        <v>134</v>
      </c>
      <c r="B17" s="8" t="s">
        <v>14</v>
      </c>
      <c r="C17" s="13">
        <v>68.818694063301194</v>
      </c>
      <c r="D17" s="29">
        <v>20669916</v>
      </c>
      <c r="E17" s="30">
        <v>1298407</v>
      </c>
      <c r="F17" s="30"/>
      <c r="G17" s="30">
        <v>8924</v>
      </c>
      <c r="H17" s="30">
        <v>54214</v>
      </c>
      <c r="I17" s="30"/>
      <c r="J17" s="30">
        <v>28328</v>
      </c>
      <c r="K17" s="28">
        <v>456577</v>
      </c>
      <c r="L17" s="28">
        <f t="shared" si="2"/>
        <v>300353.21479636454</v>
      </c>
      <c r="M17" s="28">
        <f t="shared" si="3"/>
        <v>18867.068282430526</v>
      </c>
      <c r="N17" s="28">
        <f t="shared" si="4"/>
        <v>0</v>
      </c>
      <c r="O17" s="28">
        <f t="shared" si="5"/>
        <v>129.6740678018603</v>
      </c>
      <c r="P17" s="28">
        <f t="shared" si="6"/>
        <v>787.7801335511042</v>
      </c>
      <c r="Q17" s="28">
        <f t="shared" si="7"/>
        <v>0</v>
      </c>
      <c r="R17" s="28">
        <f t="shared" si="8"/>
        <v>411.63233893893977</v>
      </c>
      <c r="S17" s="42">
        <f t="shared" si="9"/>
        <v>6634.4909070786607</v>
      </c>
      <c r="T17" s="8">
        <f t="shared" si="10"/>
        <v>22516366</v>
      </c>
      <c r="U17" s="43">
        <f t="shared" si="11"/>
        <v>327183.86052616563</v>
      </c>
      <c r="V17" s="13">
        <f t="shared" ref="V17:AC17" si="25">D17/$T$17*100</f>
        <v>91.799520402182139</v>
      </c>
      <c r="W17" s="4">
        <f t="shared" si="25"/>
        <v>5.7665033513845003</v>
      </c>
      <c r="X17" s="4">
        <f t="shared" si="25"/>
        <v>0</v>
      </c>
      <c r="Y17" s="4">
        <f t="shared" si="25"/>
        <v>3.963339377233431E-2</v>
      </c>
      <c r="Z17" s="4">
        <f t="shared" si="25"/>
        <v>0.24077597601673378</v>
      </c>
      <c r="AA17" s="4">
        <f t="shared" si="25"/>
        <v>0</v>
      </c>
      <c r="AB17" s="4">
        <f t="shared" si="25"/>
        <v>0.12581071030733823</v>
      </c>
      <c r="AC17" s="45">
        <f t="shared" si="25"/>
        <v>2.0277561663369656</v>
      </c>
    </row>
    <row r="18" spans="1:29" s="95" customFormat="1" x14ac:dyDescent="0.2">
      <c r="A18" s="109" t="s">
        <v>136</v>
      </c>
      <c r="B18" s="88" t="s">
        <v>15</v>
      </c>
      <c r="C18" s="89">
        <v>130.65055284958299</v>
      </c>
      <c r="D18" s="90">
        <v>10624008</v>
      </c>
      <c r="E18" s="91">
        <v>739988</v>
      </c>
      <c r="F18" s="91">
        <v>34641</v>
      </c>
      <c r="G18" s="91"/>
      <c r="H18" s="91">
        <v>175005</v>
      </c>
      <c r="I18" s="91">
        <v>59371</v>
      </c>
      <c r="J18" s="91"/>
      <c r="K18" s="92">
        <v>1775656</v>
      </c>
      <c r="L18" s="92">
        <f t="shared" si="2"/>
        <v>81316.21159101669</v>
      </c>
      <c r="M18" s="92">
        <f t="shared" si="3"/>
        <v>5663.8719382377403</v>
      </c>
      <c r="N18" s="92">
        <f t="shared" si="4"/>
        <v>265.14239124484936</v>
      </c>
      <c r="O18" s="92">
        <f t="shared" si="5"/>
        <v>0</v>
      </c>
      <c r="P18" s="92">
        <f t="shared" si="6"/>
        <v>1339.4891654341636</v>
      </c>
      <c r="Q18" s="92">
        <f t="shared" si="7"/>
        <v>454.42593777887333</v>
      </c>
      <c r="R18" s="92">
        <f t="shared" si="8"/>
        <v>0</v>
      </c>
      <c r="S18" s="93">
        <f t="shared" si="9"/>
        <v>13590.880109357819</v>
      </c>
      <c r="T18" s="88">
        <f t="shared" si="10"/>
        <v>13408669</v>
      </c>
      <c r="U18" s="94">
        <f t="shared" si="11"/>
        <v>102630.02113307014</v>
      </c>
      <c r="V18" s="89">
        <f t="shared" ref="V18:AC18" si="26">D18/$T$18*100</f>
        <v>79.232383169425688</v>
      </c>
      <c r="W18" s="95">
        <f t="shared" si="26"/>
        <v>5.5187282197808001</v>
      </c>
      <c r="X18" s="95">
        <f t="shared" si="26"/>
        <v>0.25834778977689732</v>
      </c>
      <c r="Y18" s="95">
        <f t="shared" si="26"/>
        <v>0</v>
      </c>
      <c r="Z18" s="95">
        <f t="shared" si="26"/>
        <v>1.3051631000809998</v>
      </c>
      <c r="AA18" s="95">
        <f t="shared" si="26"/>
        <v>0.44278071149343762</v>
      </c>
      <c r="AB18" s="95">
        <f t="shared" si="26"/>
        <v>0</v>
      </c>
      <c r="AC18" s="115">
        <f t="shared" si="26"/>
        <v>13.242597009442175</v>
      </c>
    </row>
    <row r="19" spans="1:29" x14ac:dyDescent="0.2">
      <c r="A19" s="110" t="s">
        <v>138</v>
      </c>
      <c r="B19" s="8" t="s">
        <v>16</v>
      </c>
      <c r="C19" s="13">
        <v>110.44600086309183</v>
      </c>
      <c r="D19" s="29">
        <v>11985670</v>
      </c>
      <c r="E19" s="30">
        <v>687456</v>
      </c>
      <c r="F19" s="30">
        <v>14574</v>
      </c>
      <c r="G19" s="30"/>
      <c r="H19" s="30">
        <v>202428</v>
      </c>
      <c r="I19" s="30">
        <v>91267</v>
      </c>
      <c r="J19" s="30"/>
      <c r="K19" s="28">
        <v>1983967</v>
      </c>
      <c r="L19" s="28">
        <f t="shared" si="2"/>
        <v>108520.63367018025</v>
      </c>
      <c r="M19" s="28">
        <f t="shared" si="3"/>
        <v>6224.3629884993861</v>
      </c>
      <c r="N19" s="28">
        <f t="shared" si="4"/>
        <v>131.95588691405712</v>
      </c>
      <c r="O19" s="28">
        <f t="shared" si="5"/>
        <v>0</v>
      </c>
      <c r="P19" s="28">
        <f t="shared" si="6"/>
        <v>1832.8232658322186</v>
      </c>
      <c r="Q19" s="28">
        <f t="shared" si="7"/>
        <v>826.34952181866686</v>
      </c>
      <c r="R19" s="28">
        <f t="shared" si="8"/>
        <v>0</v>
      </c>
      <c r="S19" s="42">
        <f t="shared" si="9"/>
        <v>17963.230759792863</v>
      </c>
      <c r="T19" s="8">
        <f t="shared" si="10"/>
        <v>14965362</v>
      </c>
      <c r="U19" s="43">
        <f t="shared" si="11"/>
        <v>135499.35609303747</v>
      </c>
      <c r="V19" s="13">
        <f t="shared" ref="V19:AC19" si="27">D19/$T$19*100</f>
        <v>80.089409130230194</v>
      </c>
      <c r="W19" s="4">
        <f t="shared" si="27"/>
        <v>4.5936476511560489</v>
      </c>
      <c r="X19" s="4">
        <f t="shared" si="27"/>
        <v>9.7384881167592197E-2</v>
      </c>
      <c r="Y19" s="4">
        <f t="shared" si="27"/>
        <v>0</v>
      </c>
      <c r="Z19" s="4">
        <f t="shared" si="27"/>
        <v>1.352643524426606</v>
      </c>
      <c r="AA19" s="4">
        <f t="shared" si="27"/>
        <v>0.6098549437026648</v>
      </c>
      <c r="AB19" s="4">
        <f t="shared" si="27"/>
        <v>0</v>
      </c>
      <c r="AC19" s="45">
        <f t="shared" si="27"/>
        <v>13.257059869316892</v>
      </c>
    </row>
    <row r="20" spans="1:29" s="106" customFormat="1" ht="16" thickBot="1" x14ac:dyDescent="0.25">
      <c r="A20" s="111" t="s">
        <v>140</v>
      </c>
      <c r="B20" s="99" t="s">
        <v>17</v>
      </c>
      <c r="C20" s="100">
        <v>117.52188726819432</v>
      </c>
      <c r="D20" s="101">
        <v>11195168</v>
      </c>
      <c r="E20" s="102">
        <v>743936</v>
      </c>
      <c r="F20" s="102">
        <v>14241</v>
      </c>
      <c r="G20" s="102"/>
      <c r="H20" s="102">
        <v>185993</v>
      </c>
      <c r="I20" s="102"/>
      <c r="J20" s="102">
        <v>122244</v>
      </c>
      <c r="K20" s="103">
        <v>2193282</v>
      </c>
      <c r="L20" s="103">
        <f t="shared" si="2"/>
        <v>95260.280958999021</v>
      </c>
      <c r="M20" s="103">
        <f t="shared" si="3"/>
        <v>6330.1910588133996</v>
      </c>
      <c r="N20" s="103">
        <f t="shared" si="4"/>
        <v>121.17742772034372</v>
      </c>
      <c r="O20" s="103">
        <f t="shared" si="5"/>
        <v>0</v>
      </c>
      <c r="P20" s="103">
        <f t="shared" si="6"/>
        <v>1582.6243461828446</v>
      </c>
      <c r="Q20" s="103">
        <f t="shared" si="7"/>
        <v>0</v>
      </c>
      <c r="R20" s="103">
        <f t="shared" si="8"/>
        <v>1040.1807088157923</v>
      </c>
      <c r="S20" s="104">
        <f t="shared" si="9"/>
        <v>18662.753389883499</v>
      </c>
      <c r="T20" s="99">
        <f t="shared" si="10"/>
        <v>14454864</v>
      </c>
      <c r="U20" s="105">
        <f t="shared" si="11"/>
        <v>122997.20789041489</v>
      </c>
      <c r="V20" s="100">
        <f t="shared" ref="V20:AC20" si="28">D20/$T$20*100</f>
        <v>77.449140995031158</v>
      </c>
      <c r="W20" s="106">
        <f t="shared" si="28"/>
        <v>5.1466136243135878</v>
      </c>
      <c r="X20" s="106">
        <f t="shared" si="28"/>
        <v>9.8520470341332864E-2</v>
      </c>
      <c r="Y20" s="106">
        <f t="shared" si="28"/>
        <v>0</v>
      </c>
      <c r="Z20" s="106">
        <f t="shared" si="28"/>
        <v>1.2867156688572097</v>
      </c>
      <c r="AA20" s="106">
        <f t="shared" si="28"/>
        <v>0</v>
      </c>
      <c r="AB20" s="106">
        <f t="shared" si="28"/>
        <v>0.84569457035361928</v>
      </c>
      <c r="AC20" s="116">
        <f t="shared" si="28"/>
        <v>15.173314671103096</v>
      </c>
    </row>
    <row r="21" spans="1:29" x14ac:dyDescent="0.2">
      <c r="A21" s="51" t="s">
        <v>70</v>
      </c>
      <c r="B21" s="8" t="s">
        <v>18</v>
      </c>
      <c r="C21" s="13">
        <v>97.198118384657477</v>
      </c>
      <c r="D21" s="29">
        <v>338418</v>
      </c>
      <c r="E21" s="30"/>
      <c r="F21" s="30"/>
      <c r="G21" s="30"/>
      <c r="H21" s="30"/>
      <c r="I21" s="30"/>
      <c r="J21" s="30"/>
      <c r="K21" s="28"/>
      <c r="L21" s="28">
        <f t="shared" si="2"/>
        <v>3481.7340667102726</v>
      </c>
      <c r="M21" s="28">
        <f t="shared" si="3"/>
        <v>0</v>
      </c>
      <c r="N21" s="28">
        <f t="shared" si="4"/>
        <v>0</v>
      </c>
      <c r="O21" s="28">
        <f t="shared" si="5"/>
        <v>0</v>
      </c>
      <c r="P21" s="28">
        <f t="shared" si="6"/>
        <v>0</v>
      </c>
      <c r="Q21" s="28">
        <f t="shared" si="7"/>
        <v>0</v>
      </c>
      <c r="R21" s="28">
        <f t="shared" si="8"/>
        <v>0</v>
      </c>
      <c r="S21" s="42">
        <f t="shared" si="9"/>
        <v>0</v>
      </c>
      <c r="T21" s="8">
        <f t="shared" si="10"/>
        <v>338418</v>
      </c>
      <c r="U21" s="43">
        <f t="shared" si="11"/>
        <v>3481.7340667102726</v>
      </c>
      <c r="V21" s="13">
        <f t="shared" ref="V21:AC21" si="29">D21/$T$21*100</f>
        <v>100</v>
      </c>
      <c r="W21" s="4">
        <f t="shared" si="29"/>
        <v>0</v>
      </c>
      <c r="X21" s="4">
        <f t="shared" si="29"/>
        <v>0</v>
      </c>
      <c r="Y21" s="4">
        <f t="shared" si="29"/>
        <v>0</v>
      </c>
      <c r="Z21" s="4">
        <f t="shared" si="29"/>
        <v>0</v>
      </c>
      <c r="AA21" s="4">
        <f t="shared" si="29"/>
        <v>0</v>
      </c>
      <c r="AB21" s="4">
        <f t="shared" si="29"/>
        <v>0</v>
      </c>
      <c r="AC21" s="45">
        <f t="shared" si="29"/>
        <v>0</v>
      </c>
    </row>
    <row r="22" spans="1:29" x14ac:dyDescent="0.2">
      <c r="A22" s="1" t="s">
        <v>72</v>
      </c>
      <c r="B22" s="8" t="s">
        <v>19</v>
      </c>
      <c r="C22" s="13">
        <v>127.31000379392765</v>
      </c>
      <c r="D22" s="29">
        <v>460555</v>
      </c>
      <c r="E22" s="30"/>
      <c r="F22" s="30"/>
      <c r="G22" s="30">
        <v>4948</v>
      </c>
      <c r="H22" s="30"/>
      <c r="I22" s="30"/>
      <c r="J22" s="30"/>
      <c r="K22" s="28"/>
      <c r="L22" s="28">
        <f t="shared" si="2"/>
        <v>3617.5868845741661</v>
      </c>
      <c r="M22" s="28">
        <f t="shared" si="3"/>
        <v>0</v>
      </c>
      <c r="N22" s="28">
        <f t="shared" si="4"/>
        <v>0</v>
      </c>
      <c r="O22" s="28">
        <f t="shared" si="5"/>
        <v>38.865759583270126</v>
      </c>
      <c r="P22" s="28">
        <f t="shared" si="6"/>
        <v>0</v>
      </c>
      <c r="Q22" s="28">
        <f t="shared" si="7"/>
        <v>0</v>
      </c>
      <c r="R22" s="28">
        <f t="shared" si="8"/>
        <v>0</v>
      </c>
      <c r="S22" s="42">
        <f t="shared" si="9"/>
        <v>0</v>
      </c>
      <c r="T22" s="8">
        <f t="shared" si="10"/>
        <v>465503</v>
      </c>
      <c r="U22" s="43">
        <f t="shared" si="11"/>
        <v>3656.4526441574362</v>
      </c>
      <c r="V22" s="13">
        <f t="shared" ref="V22:AC22" si="30">D22/$T$22*100</f>
        <v>98.937063778321516</v>
      </c>
      <c r="W22" s="4">
        <f t="shared" si="30"/>
        <v>0</v>
      </c>
      <c r="X22" s="4">
        <f t="shared" si="30"/>
        <v>0</v>
      </c>
      <c r="Y22" s="4">
        <f t="shared" si="30"/>
        <v>1.0629362216784854</v>
      </c>
      <c r="Z22" s="4">
        <f t="shared" si="30"/>
        <v>0</v>
      </c>
      <c r="AA22" s="4">
        <f t="shared" si="30"/>
        <v>0</v>
      </c>
      <c r="AB22" s="4">
        <f t="shared" si="30"/>
        <v>0</v>
      </c>
      <c r="AC22" s="45">
        <f t="shared" si="30"/>
        <v>0</v>
      </c>
    </row>
    <row r="23" spans="1:29" ht="16" x14ac:dyDescent="0.2">
      <c r="A23" s="52" t="s">
        <v>74</v>
      </c>
      <c r="B23" s="8" t="s">
        <v>20</v>
      </c>
      <c r="C23" s="13">
        <v>143.4385517594913</v>
      </c>
      <c r="D23" s="29">
        <v>465654</v>
      </c>
      <c r="E23" s="30">
        <v>11996</v>
      </c>
      <c r="F23" s="30"/>
      <c r="G23" s="30"/>
      <c r="H23" s="30"/>
      <c r="I23" s="30"/>
      <c r="J23" s="30"/>
      <c r="K23" s="28"/>
      <c r="L23" s="28">
        <f t="shared" si="2"/>
        <v>3246.3657384158423</v>
      </c>
      <c r="M23" s="28">
        <f t="shared" si="3"/>
        <v>83.631630777436555</v>
      </c>
      <c r="N23" s="28">
        <f t="shared" si="4"/>
        <v>0</v>
      </c>
      <c r="O23" s="28">
        <f t="shared" si="5"/>
        <v>0</v>
      </c>
      <c r="P23" s="28">
        <f t="shared" si="6"/>
        <v>0</v>
      </c>
      <c r="Q23" s="28">
        <f t="shared" si="7"/>
        <v>0</v>
      </c>
      <c r="R23" s="28">
        <f t="shared" si="8"/>
        <v>0</v>
      </c>
      <c r="S23" s="42">
        <f t="shared" si="9"/>
        <v>0</v>
      </c>
      <c r="T23" s="8">
        <f t="shared" si="10"/>
        <v>477650</v>
      </c>
      <c r="U23" s="43">
        <f t="shared" si="11"/>
        <v>3329.9973691932787</v>
      </c>
      <c r="V23" s="13">
        <f t="shared" ref="V23:AC23" si="31">D23/$T$23*100</f>
        <v>97.488537632157431</v>
      </c>
      <c r="W23" s="4">
        <f t="shared" si="31"/>
        <v>2.5114623678425625</v>
      </c>
      <c r="X23" s="4">
        <f t="shared" si="31"/>
        <v>0</v>
      </c>
      <c r="Y23" s="4">
        <f t="shared" si="31"/>
        <v>0</v>
      </c>
      <c r="Z23" s="4">
        <f t="shared" si="31"/>
        <v>0</v>
      </c>
      <c r="AA23" s="4">
        <f t="shared" si="31"/>
        <v>0</v>
      </c>
      <c r="AB23" s="4">
        <f t="shared" si="31"/>
        <v>0</v>
      </c>
      <c r="AC23" s="45">
        <f t="shared" si="31"/>
        <v>0</v>
      </c>
    </row>
    <row r="24" spans="1:29" ht="16" x14ac:dyDescent="0.2">
      <c r="A24" s="52" t="s">
        <v>76</v>
      </c>
      <c r="B24" s="8" t="s">
        <v>21</v>
      </c>
      <c r="C24" s="13">
        <v>110.74207412094421</v>
      </c>
      <c r="D24" s="29">
        <v>229640</v>
      </c>
      <c r="E24" s="30"/>
      <c r="F24" s="30"/>
      <c r="G24" s="30">
        <v>6614</v>
      </c>
      <c r="H24" s="30"/>
      <c r="I24" s="30"/>
      <c r="J24" s="30"/>
      <c r="K24" s="28">
        <v>53548</v>
      </c>
      <c r="L24" s="28">
        <f t="shared" si="2"/>
        <v>2073.6472729344437</v>
      </c>
      <c r="M24" s="28">
        <f t="shared" si="3"/>
        <v>0</v>
      </c>
      <c r="N24" s="28">
        <f t="shared" si="4"/>
        <v>0</v>
      </c>
      <c r="O24" s="28">
        <f t="shared" si="5"/>
        <v>59.724364497423842</v>
      </c>
      <c r="P24" s="28">
        <f t="shared" si="6"/>
        <v>0</v>
      </c>
      <c r="Q24" s="28">
        <f t="shared" si="7"/>
        <v>0</v>
      </c>
      <c r="R24" s="28">
        <f t="shared" si="8"/>
        <v>0</v>
      </c>
      <c r="S24" s="42">
        <f t="shared" si="9"/>
        <v>483.53799064228178</v>
      </c>
      <c r="T24" s="8">
        <f t="shared" si="10"/>
        <v>289802</v>
      </c>
      <c r="U24" s="43">
        <f t="shared" si="11"/>
        <v>2616.9096280741492</v>
      </c>
      <c r="V24" s="13">
        <f t="shared" ref="V24:AC24" si="32">D24/$T$24*100</f>
        <v>79.240308900559697</v>
      </c>
      <c r="W24" s="4">
        <f t="shared" si="32"/>
        <v>0</v>
      </c>
      <c r="X24" s="4">
        <f t="shared" si="32"/>
        <v>0</v>
      </c>
      <c r="Y24" s="4">
        <f t="shared" si="32"/>
        <v>2.2822478795867527</v>
      </c>
      <c r="Z24" s="4">
        <f t="shared" si="32"/>
        <v>0</v>
      </c>
      <c r="AA24" s="4">
        <f t="shared" si="32"/>
        <v>0</v>
      </c>
      <c r="AB24" s="4">
        <f t="shared" si="32"/>
        <v>0</v>
      </c>
      <c r="AC24" s="45">
        <f t="shared" si="32"/>
        <v>18.477443219853555</v>
      </c>
    </row>
    <row r="25" spans="1:29" ht="16" x14ac:dyDescent="0.2">
      <c r="A25" s="52" t="s">
        <v>78</v>
      </c>
      <c r="B25" s="8" t="s">
        <v>22</v>
      </c>
      <c r="C25" s="13">
        <v>137.29877325454129</v>
      </c>
      <c r="D25" s="29">
        <v>247789</v>
      </c>
      <c r="E25" s="30"/>
      <c r="F25" s="30"/>
      <c r="G25" s="30"/>
      <c r="H25" s="30">
        <v>7660</v>
      </c>
      <c r="I25" s="30"/>
      <c r="J25" s="30"/>
      <c r="K25" s="28">
        <v>55126</v>
      </c>
      <c r="L25" s="28">
        <f t="shared" si="2"/>
        <v>1804.743000439038</v>
      </c>
      <c r="M25" s="28">
        <f t="shared" si="3"/>
        <v>0</v>
      </c>
      <c r="N25" s="28">
        <f t="shared" si="4"/>
        <v>0</v>
      </c>
      <c r="O25" s="28">
        <f t="shared" si="5"/>
        <v>0</v>
      </c>
      <c r="P25" s="28">
        <f t="shared" si="6"/>
        <v>55.790738827643807</v>
      </c>
      <c r="Q25" s="28">
        <f t="shared" si="7"/>
        <v>0</v>
      </c>
      <c r="R25" s="28">
        <f t="shared" si="8"/>
        <v>0</v>
      </c>
      <c r="S25" s="42">
        <f t="shared" si="9"/>
        <v>401.50395151601731</v>
      </c>
      <c r="T25" s="8">
        <f t="shared" si="10"/>
        <v>310575</v>
      </c>
      <c r="U25" s="43">
        <f t="shared" si="11"/>
        <v>2262.037690782699</v>
      </c>
      <c r="V25" s="13">
        <f t="shared" ref="V25:AC25" si="33">D25/$T$25*100</f>
        <v>79.783949126619973</v>
      </c>
      <c r="W25" s="4">
        <f t="shared" si="33"/>
        <v>0</v>
      </c>
      <c r="X25" s="4">
        <f t="shared" si="33"/>
        <v>0</v>
      </c>
      <c r="Y25" s="4">
        <f t="shared" si="33"/>
        <v>0</v>
      </c>
      <c r="Z25" s="4">
        <f t="shared" si="33"/>
        <v>2.4663929807614906</v>
      </c>
      <c r="AA25" s="4">
        <f t="shared" si="33"/>
        <v>0</v>
      </c>
      <c r="AB25" s="4">
        <f t="shared" si="33"/>
        <v>0</v>
      </c>
      <c r="AC25" s="45">
        <f t="shared" si="33"/>
        <v>17.749657892618529</v>
      </c>
    </row>
    <row r="26" spans="1:29" ht="17" thickBot="1" x14ac:dyDescent="0.25">
      <c r="A26" s="52" t="s">
        <v>80</v>
      </c>
      <c r="B26" s="8" t="s">
        <v>23</v>
      </c>
      <c r="C26" s="13">
        <v>136.74822250998346</v>
      </c>
      <c r="D26" s="29">
        <v>212237</v>
      </c>
      <c r="E26" s="30">
        <v>14690</v>
      </c>
      <c r="F26" s="30"/>
      <c r="G26" s="30"/>
      <c r="H26" s="30"/>
      <c r="I26" s="30"/>
      <c r="J26" s="30"/>
      <c r="K26" s="28">
        <v>46139</v>
      </c>
      <c r="L26" s="28">
        <f t="shared" si="2"/>
        <v>1552.0274860209272</v>
      </c>
      <c r="M26" s="28">
        <f t="shared" si="3"/>
        <v>107.42369977735937</v>
      </c>
      <c r="N26" s="28">
        <f t="shared" si="4"/>
        <v>0</v>
      </c>
      <c r="O26" s="28">
        <f t="shared" si="5"/>
        <v>0</v>
      </c>
      <c r="P26" s="28">
        <f t="shared" si="6"/>
        <v>0</v>
      </c>
      <c r="Q26" s="28">
        <f t="shared" si="7"/>
        <v>0</v>
      </c>
      <c r="R26" s="28">
        <f t="shared" si="8"/>
        <v>0</v>
      </c>
      <c r="S26" s="42">
        <f t="shared" si="9"/>
        <v>337.40109489636376</v>
      </c>
      <c r="T26" s="8">
        <f t="shared" si="10"/>
        <v>273066</v>
      </c>
      <c r="U26" s="43">
        <f t="shared" si="11"/>
        <v>1996.8522806946503</v>
      </c>
      <c r="V26" s="13">
        <f t="shared" ref="V26:AC26" si="34">D26/$T$26*100</f>
        <v>77.723700497315662</v>
      </c>
      <c r="W26" s="4">
        <f t="shared" si="34"/>
        <v>5.3796518057905418</v>
      </c>
      <c r="X26" s="4">
        <f t="shared" si="34"/>
        <v>0</v>
      </c>
      <c r="Y26" s="4">
        <f t="shared" si="34"/>
        <v>0</v>
      </c>
      <c r="Z26" s="4">
        <f t="shared" si="34"/>
        <v>0</v>
      </c>
      <c r="AA26" s="4">
        <f t="shared" si="34"/>
        <v>0</v>
      </c>
      <c r="AB26" s="4">
        <f t="shared" si="34"/>
        <v>0</v>
      </c>
      <c r="AC26" s="45">
        <f t="shared" si="34"/>
        <v>16.89664769689379</v>
      </c>
    </row>
    <row r="27" spans="1:29" s="95" customFormat="1" x14ac:dyDescent="0.2">
      <c r="A27" s="109" t="s">
        <v>82</v>
      </c>
      <c r="B27" s="88" t="s">
        <v>24</v>
      </c>
      <c r="C27" s="89">
        <v>117.01602075231662</v>
      </c>
      <c r="D27" s="90">
        <v>20618</v>
      </c>
      <c r="E27" s="91"/>
      <c r="F27" s="91"/>
      <c r="G27" s="91">
        <v>6046</v>
      </c>
      <c r="H27" s="91"/>
      <c r="I27" s="91"/>
      <c r="J27" s="91"/>
      <c r="K27" s="92">
        <v>147993</v>
      </c>
      <c r="L27" s="92">
        <f t="shared" si="2"/>
        <v>176.19809550387413</v>
      </c>
      <c r="M27" s="92">
        <f t="shared" si="3"/>
        <v>0</v>
      </c>
      <c r="N27" s="92">
        <f t="shared" si="4"/>
        <v>0</v>
      </c>
      <c r="O27" s="92">
        <f t="shared" si="5"/>
        <v>51.668138782443641</v>
      </c>
      <c r="P27" s="92">
        <f t="shared" si="6"/>
        <v>0</v>
      </c>
      <c r="Q27" s="92">
        <f t="shared" si="7"/>
        <v>0</v>
      </c>
      <c r="R27" s="92">
        <f t="shared" si="8"/>
        <v>0</v>
      </c>
      <c r="S27" s="93">
        <f t="shared" si="9"/>
        <v>1264.7242578283463</v>
      </c>
      <c r="T27" s="88">
        <f t="shared" si="10"/>
        <v>174657</v>
      </c>
      <c r="U27" s="94">
        <f t="shared" si="11"/>
        <v>1492.5904921146639</v>
      </c>
      <c r="V27" s="89">
        <f t="shared" ref="V27:AC27" si="35">D27/$T$27*100</f>
        <v>11.804851795232944</v>
      </c>
      <c r="W27" s="95">
        <f t="shared" si="35"/>
        <v>0</v>
      </c>
      <c r="X27" s="95">
        <f t="shared" si="35"/>
        <v>0</v>
      </c>
      <c r="Y27" s="95">
        <f t="shared" si="35"/>
        <v>3.4616419611009004</v>
      </c>
      <c r="Z27" s="95">
        <f t="shared" si="35"/>
        <v>0</v>
      </c>
      <c r="AA27" s="95">
        <f t="shared" si="35"/>
        <v>0</v>
      </c>
      <c r="AB27" s="95">
        <f t="shared" si="35"/>
        <v>0</v>
      </c>
      <c r="AC27" s="115">
        <f t="shared" si="35"/>
        <v>84.733506243666156</v>
      </c>
    </row>
    <row r="28" spans="1:29" x14ac:dyDescent="0.2">
      <c r="A28" s="110" t="s">
        <v>84</v>
      </c>
      <c r="B28" s="8" t="s">
        <v>25</v>
      </c>
      <c r="C28" s="13">
        <v>124.6589491999994</v>
      </c>
      <c r="D28" s="29">
        <v>33648</v>
      </c>
      <c r="E28" s="30"/>
      <c r="F28" s="30"/>
      <c r="G28" s="30"/>
      <c r="H28" s="30"/>
      <c r="I28" s="30">
        <v>5311</v>
      </c>
      <c r="J28" s="30"/>
      <c r="K28" s="28">
        <v>140198</v>
      </c>
      <c r="L28" s="28">
        <f t="shared" si="2"/>
        <v>269.92045269061327</v>
      </c>
      <c r="M28" s="28">
        <f t="shared" si="3"/>
        <v>0</v>
      </c>
      <c r="N28" s="28">
        <f t="shared" si="4"/>
        <v>0</v>
      </c>
      <c r="O28" s="28">
        <f t="shared" si="5"/>
        <v>0</v>
      </c>
      <c r="P28" s="28">
        <f t="shared" si="6"/>
        <v>0</v>
      </c>
      <c r="Q28" s="28">
        <f t="shared" si="7"/>
        <v>42.604241685682567</v>
      </c>
      <c r="R28" s="28">
        <f t="shared" si="8"/>
        <v>0</v>
      </c>
      <c r="S28" s="42">
        <f t="shared" si="9"/>
        <v>1124.6525091036199</v>
      </c>
      <c r="T28" s="8">
        <f t="shared" si="10"/>
        <v>179157</v>
      </c>
      <c r="U28" s="43">
        <f t="shared" si="11"/>
        <v>1437.1772034799158</v>
      </c>
      <c r="V28" s="13">
        <f t="shared" ref="V28:AC28" si="36">D28/$T$28*100</f>
        <v>18.781292386007802</v>
      </c>
      <c r="W28" s="4">
        <f t="shared" si="36"/>
        <v>0</v>
      </c>
      <c r="X28" s="4">
        <f t="shared" si="36"/>
        <v>0</v>
      </c>
      <c r="Y28" s="4">
        <f t="shared" si="36"/>
        <v>0</v>
      </c>
      <c r="Z28" s="4">
        <f t="shared" si="36"/>
        <v>0</v>
      </c>
      <c r="AA28" s="4">
        <f t="shared" si="36"/>
        <v>2.9644390115931838</v>
      </c>
      <c r="AB28" s="4">
        <f t="shared" si="36"/>
        <v>0</v>
      </c>
      <c r="AC28" s="45">
        <f t="shared" si="36"/>
        <v>78.254268602399009</v>
      </c>
    </row>
    <row r="29" spans="1:29" s="106" customFormat="1" ht="17" thickBot="1" x14ac:dyDescent="0.25">
      <c r="A29" s="98" t="s">
        <v>86</v>
      </c>
      <c r="B29" s="99" t="s">
        <v>26</v>
      </c>
      <c r="C29" s="100">
        <v>131.82322224628973</v>
      </c>
      <c r="D29" s="101">
        <v>14249</v>
      </c>
      <c r="E29" s="102">
        <v>6117</v>
      </c>
      <c r="F29" s="102"/>
      <c r="G29" s="102"/>
      <c r="H29" s="102">
        <v>118362</v>
      </c>
      <c r="I29" s="102"/>
      <c r="J29" s="102"/>
      <c r="K29" s="103">
        <v>206426</v>
      </c>
      <c r="L29" s="103">
        <f t="shared" si="2"/>
        <v>108.0917288865699</v>
      </c>
      <c r="M29" s="103">
        <f t="shared" si="3"/>
        <v>46.403053238763988</v>
      </c>
      <c r="N29" s="103">
        <f t="shared" si="4"/>
        <v>0</v>
      </c>
      <c r="O29" s="103">
        <f t="shared" si="5"/>
        <v>0</v>
      </c>
      <c r="P29" s="103">
        <f t="shared" si="6"/>
        <v>897.88428763226796</v>
      </c>
      <c r="Q29" s="103">
        <f t="shared" si="7"/>
        <v>0</v>
      </c>
      <c r="R29" s="103">
        <f t="shared" si="8"/>
        <v>0</v>
      </c>
      <c r="S29" s="104">
        <f t="shared" si="9"/>
        <v>1565.9304672004407</v>
      </c>
      <c r="T29" s="99">
        <f t="shared" si="10"/>
        <v>345154</v>
      </c>
      <c r="U29" s="105">
        <f t="shared" si="11"/>
        <v>2618.3095369580424</v>
      </c>
      <c r="V29" s="100">
        <f t="shared" ref="V29:AC29" si="37">D29/$T$29*100</f>
        <v>4.1283021491855809</v>
      </c>
      <c r="W29" s="106">
        <f t="shared" si="37"/>
        <v>1.7722523858915151</v>
      </c>
      <c r="X29" s="106">
        <f t="shared" si="37"/>
        <v>0</v>
      </c>
      <c r="Y29" s="106">
        <f t="shared" si="37"/>
        <v>0</v>
      </c>
      <c r="Z29" s="106">
        <f t="shared" si="37"/>
        <v>34.29251870179688</v>
      </c>
      <c r="AA29" s="106">
        <f t="shared" si="37"/>
        <v>0</v>
      </c>
      <c r="AB29" s="106">
        <f t="shared" si="37"/>
        <v>0</v>
      </c>
      <c r="AC29" s="116">
        <f t="shared" si="37"/>
        <v>59.806926763126022</v>
      </c>
    </row>
    <row r="30" spans="1:29" x14ac:dyDescent="0.2">
      <c r="A30" s="1" t="s">
        <v>88</v>
      </c>
      <c r="B30" s="8" t="s">
        <v>27</v>
      </c>
      <c r="C30" s="13">
        <v>120.13545845490287</v>
      </c>
      <c r="D30" s="29">
        <v>445322</v>
      </c>
      <c r="E30" s="30">
        <v>12491</v>
      </c>
      <c r="F30" s="30"/>
      <c r="G30" s="30"/>
      <c r="H30" s="30"/>
      <c r="I30" s="30"/>
      <c r="J30" s="30"/>
      <c r="K30" s="28"/>
      <c r="L30" s="28">
        <f t="shared" si="2"/>
        <v>3706.8323185129184</v>
      </c>
      <c r="M30" s="28">
        <f t="shared" si="3"/>
        <v>103.97429835163065</v>
      </c>
      <c r="N30" s="28">
        <f t="shared" si="4"/>
        <v>0</v>
      </c>
      <c r="O30" s="28">
        <f t="shared" si="5"/>
        <v>0</v>
      </c>
      <c r="P30" s="28">
        <f t="shared" si="6"/>
        <v>0</v>
      </c>
      <c r="Q30" s="28">
        <f t="shared" si="7"/>
        <v>0</v>
      </c>
      <c r="R30" s="28">
        <f t="shared" si="8"/>
        <v>0</v>
      </c>
      <c r="S30" s="42">
        <f t="shared" si="9"/>
        <v>0</v>
      </c>
      <c r="T30" s="8">
        <f t="shared" si="10"/>
        <v>457813</v>
      </c>
      <c r="U30" s="43">
        <f t="shared" si="11"/>
        <v>3810.8066168645491</v>
      </c>
      <c r="V30" s="13">
        <f t="shared" ref="V30:AC30" si="38">D30/$T$30*100</f>
        <v>97.271593423515711</v>
      </c>
      <c r="W30" s="4">
        <f t="shared" si="38"/>
        <v>2.7284065764842853</v>
      </c>
      <c r="X30" s="4">
        <f t="shared" si="38"/>
        <v>0</v>
      </c>
      <c r="Y30" s="4">
        <f t="shared" si="38"/>
        <v>0</v>
      </c>
      <c r="Z30" s="4">
        <f t="shared" si="38"/>
        <v>0</v>
      </c>
      <c r="AA30" s="4">
        <f t="shared" si="38"/>
        <v>0</v>
      </c>
      <c r="AB30" s="4">
        <f t="shared" si="38"/>
        <v>0</v>
      </c>
      <c r="AC30" s="45">
        <f t="shared" si="38"/>
        <v>0</v>
      </c>
    </row>
    <row r="31" spans="1:29" x14ac:dyDescent="0.2">
      <c r="A31" s="1" t="s">
        <v>90</v>
      </c>
      <c r="B31" s="8" t="s">
        <v>28</v>
      </c>
      <c r="C31" s="13">
        <v>133.6306416614492</v>
      </c>
      <c r="D31" s="29">
        <v>449452</v>
      </c>
      <c r="E31" s="30">
        <v>15609</v>
      </c>
      <c r="F31" s="30"/>
      <c r="G31" s="30">
        <v>5120</v>
      </c>
      <c r="H31" s="30"/>
      <c r="I31" s="30"/>
      <c r="J31" s="30"/>
      <c r="K31" s="28"/>
      <c r="L31" s="28">
        <f t="shared" si="2"/>
        <v>3363.3902704641532</v>
      </c>
      <c r="M31" s="28">
        <f t="shared" si="3"/>
        <v>116.80704220178121</v>
      </c>
      <c r="N31" s="28">
        <f t="shared" si="4"/>
        <v>0</v>
      </c>
      <c r="O31" s="28">
        <f t="shared" si="5"/>
        <v>38.314565703960525</v>
      </c>
      <c r="P31" s="28">
        <f t="shared" si="6"/>
        <v>0</v>
      </c>
      <c r="Q31" s="28">
        <f t="shared" si="7"/>
        <v>0</v>
      </c>
      <c r="R31" s="28">
        <f t="shared" si="8"/>
        <v>0</v>
      </c>
      <c r="S31" s="42">
        <f t="shared" si="9"/>
        <v>0</v>
      </c>
      <c r="T31" s="8">
        <f t="shared" si="10"/>
        <v>470181</v>
      </c>
      <c r="U31" s="43">
        <f t="shared" si="11"/>
        <v>3518.5118783698949</v>
      </c>
      <c r="V31" s="13">
        <f t="shared" ref="V31:AC31" si="39">D31/$T$31*100</f>
        <v>95.59127229726424</v>
      </c>
      <c r="W31" s="4">
        <f t="shared" si="39"/>
        <v>3.3197853592552651</v>
      </c>
      <c r="X31" s="4">
        <f t="shared" si="39"/>
        <v>0</v>
      </c>
      <c r="Y31" s="4">
        <f t="shared" si="39"/>
        <v>1.0889423434804895</v>
      </c>
      <c r="Z31" s="4">
        <f t="shared" si="39"/>
        <v>0</v>
      </c>
      <c r="AA31" s="4">
        <f t="shared" si="39"/>
        <v>0</v>
      </c>
      <c r="AB31" s="4">
        <f t="shared" si="39"/>
        <v>0</v>
      </c>
      <c r="AC31" s="45">
        <f t="shared" si="39"/>
        <v>0</v>
      </c>
    </row>
    <row r="32" spans="1:29" x14ac:dyDescent="0.2">
      <c r="A32" s="1" t="s">
        <v>92</v>
      </c>
      <c r="B32" s="8" t="s">
        <v>29</v>
      </c>
      <c r="C32" s="13">
        <v>89.665815943679206</v>
      </c>
      <c r="D32" s="29">
        <v>489002</v>
      </c>
      <c r="E32" s="30">
        <v>12982</v>
      </c>
      <c r="F32" s="30"/>
      <c r="G32" s="30"/>
      <c r="H32" s="30"/>
      <c r="I32" s="30"/>
      <c r="J32" s="30"/>
      <c r="K32" s="28"/>
      <c r="L32" s="28">
        <f t="shared" si="2"/>
        <v>5453.6056450671394</v>
      </c>
      <c r="M32" s="28">
        <f t="shared" si="3"/>
        <v>144.7820427815461</v>
      </c>
      <c r="N32" s="28">
        <f t="shared" si="4"/>
        <v>0</v>
      </c>
      <c r="O32" s="28">
        <f t="shared" si="5"/>
        <v>0</v>
      </c>
      <c r="P32" s="28">
        <f t="shared" si="6"/>
        <v>0</v>
      </c>
      <c r="Q32" s="28">
        <f t="shared" si="7"/>
        <v>0</v>
      </c>
      <c r="R32" s="28">
        <f t="shared" si="8"/>
        <v>0</v>
      </c>
      <c r="S32" s="42">
        <f t="shared" si="9"/>
        <v>0</v>
      </c>
      <c r="T32" s="8">
        <f t="shared" si="10"/>
        <v>501984</v>
      </c>
      <c r="U32" s="43">
        <f t="shared" si="11"/>
        <v>5598.3876878486853</v>
      </c>
      <c r="V32" s="13">
        <f t="shared" ref="V32:AC32" si="40">D32/$T$32*100</f>
        <v>97.413861796391927</v>
      </c>
      <c r="W32" s="4">
        <f t="shared" si="40"/>
        <v>2.5861382036080833</v>
      </c>
      <c r="X32" s="4">
        <f t="shared" si="40"/>
        <v>0</v>
      </c>
      <c r="Y32" s="4">
        <f t="shared" si="40"/>
        <v>0</v>
      </c>
      <c r="Z32" s="4">
        <f t="shared" si="40"/>
        <v>0</v>
      </c>
      <c r="AA32" s="4">
        <f t="shared" si="40"/>
        <v>0</v>
      </c>
      <c r="AB32" s="4">
        <f t="shared" si="40"/>
        <v>0</v>
      </c>
      <c r="AC32" s="45">
        <f t="shared" si="40"/>
        <v>0</v>
      </c>
    </row>
    <row r="33" spans="1:29" x14ac:dyDescent="0.2">
      <c r="A33" s="1" t="s">
        <v>94</v>
      </c>
      <c r="B33" s="8" t="s">
        <v>30</v>
      </c>
      <c r="C33" s="13">
        <v>117.18257637794109</v>
      </c>
      <c r="D33" s="29">
        <v>278893</v>
      </c>
      <c r="E33" s="30"/>
      <c r="F33" s="30"/>
      <c r="G33" s="30"/>
      <c r="H33" s="30"/>
      <c r="I33" s="30"/>
      <c r="J33" s="30"/>
      <c r="K33" s="28">
        <v>35974</v>
      </c>
      <c r="L33" s="28">
        <f t="shared" si="2"/>
        <v>2379.9869282657273</v>
      </c>
      <c r="M33" s="28">
        <f t="shared" si="3"/>
        <v>0</v>
      </c>
      <c r="N33" s="28">
        <f t="shared" si="4"/>
        <v>0</v>
      </c>
      <c r="O33" s="28">
        <f t="shared" si="5"/>
        <v>0</v>
      </c>
      <c r="P33" s="28">
        <f t="shared" si="6"/>
        <v>0</v>
      </c>
      <c r="Q33" s="28">
        <f t="shared" si="7"/>
        <v>0</v>
      </c>
      <c r="R33" s="28">
        <f t="shared" si="8"/>
        <v>0</v>
      </c>
      <c r="S33" s="42">
        <f t="shared" si="9"/>
        <v>306.9910315333525</v>
      </c>
      <c r="T33" s="8">
        <f t="shared" si="10"/>
        <v>314867</v>
      </c>
      <c r="U33" s="43">
        <f t="shared" si="11"/>
        <v>2686.9779597990801</v>
      </c>
      <c r="V33" s="13">
        <f t="shared" ref="V33:AC33" si="41">D33/$T$33*100</f>
        <v>88.574858591087661</v>
      </c>
      <c r="W33" s="4">
        <f t="shared" si="41"/>
        <v>0</v>
      </c>
      <c r="X33" s="4">
        <f t="shared" si="41"/>
        <v>0</v>
      </c>
      <c r="Y33" s="4">
        <f t="shared" si="41"/>
        <v>0</v>
      </c>
      <c r="Z33" s="4">
        <f t="shared" si="41"/>
        <v>0</v>
      </c>
      <c r="AA33" s="4">
        <f t="shared" si="41"/>
        <v>0</v>
      </c>
      <c r="AB33" s="4">
        <f t="shared" si="41"/>
        <v>0</v>
      </c>
      <c r="AC33" s="45">
        <f t="shared" si="41"/>
        <v>11.425141408912335</v>
      </c>
    </row>
    <row r="34" spans="1:29" x14ac:dyDescent="0.2">
      <c r="A34" s="1" t="s">
        <v>96</v>
      </c>
      <c r="B34" s="8" t="s">
        <v>31</v>
      </c>
      <c r="C34" s="13">
        <v>93.866959001563146</v>
      </c>
      <c r="D34" s="29">
        <v>369670</v>
      </c>
      <c r="E34" s="30">
        <v>18082</v>
      </c>
      <c r="F34" s="30"/>
      <c r="G34" s="30"/>
      <c r="H34" s="30">
        <v>55056</v>
      </c>
      <c r="I34" s="30">
        <v>11384</v>
      </c>
      <c r="J34" s="30">
        <v>3895</v>
      </c>
      <c r="K34" s="28">
        <v>49880</v>
      </c>
      <c r="L34" s="28">
        <f t="shared" si="2"/>
        <v>3938.2334735467884</v>
      </c>
      <c r="M34" s="28">
        <f t="shared" si="3"/>
        <v>192.63434324850007</v>
      </c>
      <c r="N34" s="28">
        <f t="shared" si="4"/>
        <v>0</v>
      </c>
      <c r="O34" s="28">
        <f t="shared" si="5"/>
        <v>0</v>
      </c>
      <c r="P34" s="28">
        <f t="shared" si="6"/>
        <v>586.5322642345659</v>
      </c>
      <c r="Q34" s="28">
        <f t="shared" si="7"/>
        <v>121.27803138706587</v>
      </c>
      <c r="R34" s="28">
        <f t="shared" si="8"/>
        <v>41.494899178902102</v>
      </c>
      <c r="S34" s="42">
        <f t="shared" si="9"/>
        <v>531.39039051184511</v>
      </c>
      <c r="T34" s="8">
        <f t="shared" si="10"/>
        <v>507967</v>
      </c>
      <c r="U34" s="43">
        <f t="shared" si="11"/>
        <v>5411.5634021076685</v>
      </c>
      <c r="V34" s="13">
        <f t="shared" ref="V34:AC34" si="42">D34/$T$34*100</f>
        <v>72.774412511048951</v>
      </c>
      <c r="W34" s="4">
        <f t="shared" si="42"/>
        <v>3.5596800579565206</v>
      </c>
      <c r="X34" s="4">
        <f t="shared" si="42"/>
        <v>0</v>
      </c>
      <c r="Y34" s="4">
        <f t="shared" si="42"/>
        <v>0</v>
      </c>
      <c r="Z34" s="4">
        <f t="shared" si="42"/>
        <v>10.838499351335814</v>
      </c>
      <c r="AA34" s="4">
        <f t="shared" si="42"/>
        <v>2.2410904645380509</v>
      </c>
      <c r="AB34" s="4">
        <f t="shared" si="42"/>
        <v>0.76678209411241283</v>
      </c>
      <c r="AC34" s="45">
        <f t="shared" si="42"/>
        <v>9.8195355210082553</v>
      </c>
    </row>
    <row r="35" spans="1:29" ht="16" thickBot="1" x14ac:dyDescent="0.25">
      <c r="A35" s="1" t="s">
        <v>98</v>
      </c>
      <c r="B35" s="8" t="s">
        <v>32</v>
      </c>
      <c r="C35" s="13">
        <v>124.3878226689603</v>
      </c>
      <c r="D35" s="29">
        <v>254861</v>
      </c>
      <c r="E35" s="30"/>
      <c r="F35" s="30">
        <v>5613</v>
      </c>
      <c r="G35" s="30"/>
      <c r="H35" s="30">
        <v>38273</v>
      </c>
      <c r="I35" s="30"/>
      <c r="J35" s="30"/>
      <c r="K35" s="28">
        <v>73113</v>
      </c>
      <c r="L35" s="28">
        <f t="shared" si="2"/>
        <v>2048.9224309221545</v>
      </c>
      <c r="M35" s="28">
        <f t="shared" si="3"/>
        <v>0</v>
      </c>
      <c r="N35" s="28">
        <f t="shared" si="4"/>
        <v>45.124995996900481</v>
      </c>
      <c r="O35" s="28">
        <f t="shared" si="5"/>
        <v>0</v>
      </c>
      <c r="P35" s="28">
        <f t="shared" si="6"/>
        <v>307.69089110802992</v>
      </c>
      <c r="Q35" s="28">
        <f t="shared" si="7"/>
        <v>0</v>
      </c>
      <c r="R35" s="28">
        <f t="shared" si="8"/>
        <v>0</v>
      </c>
      <c r="S35" s="42">
        <f t="shared" si="9"/>
        <v>587.78261755235792</v>
      </c>
      <c r="T35" s="8">
        <f t="shared" si="10"/>
        <v>371860</v>
      </c>
      <c r="U35" s="43">
        <f t="shared" si="11"/>
        <v>2989.5209355794427</v>
      </c>
      <c r="V35" s="13">
        <f t="shared" ref="V35:AC35" si="43">D35/$T$35*100</f>
        <v>68.536814930350133</v>
      </c>
      <c r="W35" s="4">
        <f t="shared" si="43"/>
        <v>0</v>
      </c>
      <c r="X35" s="4">
        <f t="shared" si="43"/>
        <v>1.5094390361964181</v>
      </c>
      <c r="Y35" s="4">
        <f t="shared" si="43"/>
        <v>0</v>
      </c>
      <c r="Z35" s="4">
        <f t="shared" si="43"/>
        <v>10.292314311837789</v>
      </c>
      <c r="AA35" s="4">
        <f t="shared" si="43"/>
        <v>0</v>
      </c>
      <c r="AB35" s="4">
        <f t="shared" si="43"/>
        <v>0</v>
      </c>
      <c r="AC35" s="45">
        <f t="shared" si="43"/>
        <v>19.661431721615664</v>
      </c>
    </row>
    <row r="36" spans="1:29" x14ac:dyDescent="0.2">
      <c r="A36" s="109" t="s">
        <v>100</v>
      </c>
      <c r="B36" s="8" t="s">
        <v>33</v>
      </c>
      <c r="C36" s="13">
        <v>116.31998434140461</v>
      </c>
      <c r="D36" s="29">
        <v>18544</v>
      </c>
      <c r="E36" s="30">
        <v>5395</v>
      </c>
      <c r="F36" s="30">
        <v>5724</v>
      </c>
      <c r="G36" s="30"/>
      <c r="H36" s="30"/>
      <c r="I36" s="30">
        <v>7979</v>
      </c>
      <c r="J36" s="30"/>
      <c r="K36" s="28">
        <v>142071</v>
      </c>
      <c r="L36" s="28">
        <f t="shared" si="2"/>
        <v>159.42230481713693</v>
      </c>
      <c r="M36" s="28">
        <f t="shared" si="3"/>
        <v>46.380680246357514</v>
      </c>
      <c r="N36" s="28">
        <f t="shared" si="4"/>
        <v>49.209085028758189</v>
      </c>
      <c r="O36" s="28">
        <f t="shared" si="5"/>
        <v>0</v>
      </c>
      <c r="P36" s="28">
        <f t="shared" si="6"/>
        <v>0</v>
      </c>
      <c r="Q36" s="28">
        <f t="shared" si="7"/>
        <v>68.595263704483159</v>
      </c>
      <c r="R36" s="28">
        <f t="shared" si="8"/>
        <v>0</v>
      </c>
      <c r="S36" s="42">
        <f t="shared" si="9"/>
        <v>1221.3808384208078</v>
      </c>
      <c r="T36" s="8">
        <f t="shared" si="10"/>
        <v>179713</v>
      </c>
      <c r="U36" s="43">
        <f t="shared" si="11"/>
        <v>1544.9881722175437</v>
      </c>
      <c r="V36" s="13">
        <f t="shared" ref="V36:AC36" si="44">D36/$T$36*100</f>
        <v>10.318674775892674</v>
      </c>
      <c r="W36" s="4">
        <f t="shared" si="44"/>
        <v>3.0020087584092412</v>
      </c>
      <c r="X36" s="4">
        <f t="shared" si="44"/>
        <v>3.1850784306088045</v>
      </c>
      <c r="Y36" s="4">
        <f t="shared" si="44"/>
        <v>0</v>
      </c>
      <c r="Z36" s="4">
        <f t="shared" si="44"/>
        <v>0</v>
      </c>
      <c r="AA36" s="4">
        <f t="shared" si="44"/>
        <v>4.4398568829188756</v>
      </c>
      <c r="AB36" s="4">
        <f t="shared" si="44"/>
        <v>0</v>
      </c>
      <c r="AC36" s="45">
        <f t="shared" si="44"/>
        <v>79.054381152170407</v>
      </c>
    </row>
    <row r="37" spans="1:29" x14ac:dyDescent="0.2">
      <c r="A37" s="110" t="s">
        <v>102</v>
      </c>
      <c r="B37" s="8" t="s">
        <v>34</v>
      </c>
      <c r="C37" s="13">
        <v>75.56969360035805</v>
      </c>
      <c r="D37" s="29">
        <v>29551</v>
      </c>
      <c r="E37" s="30"/>
      <c r="F37" s="30"/>
      <c r="G37" s="30"/>
      <c r="H37" s="30"/>
      <c r="I37" s="30"/>
      <c r="J37" s="30"/>
      <c r="K37" s="28">
        <v>153811</v>
      </c>
      <c r="L37" s="28">
        <f t="shared" si="2"/>
        <v>391.04300404176826</v>
      </c>
      <c r="M37" s="28">
        <f t="shared" si="3"/>
        <v>0</v>
      </c>
      <c r="N37" s="28">
        <f t="shared" si="4"/>
        <v>0</v>
      </c>
      <c r="O37" s="28">
        <f t="shared" si="5"/>
        <v>0</v>
      </c>
      <c r="P37" s="28">
        <f t="shared" si="6"/>
        <v>0</v>
      </c>
      <c r="Q37" s="28">
        <f t="shared" si="7"/>
        <v>0</v>
      </c>
      <c r="R37" s="28">
        <f t="shared" si="8"/>
        <v>0</v>
      </c>
      <c r="S37" s="42">
        <f t="shared" si="9"/>
        <v>2035.3529658782584</v>
      </c>
      <c r="T37" s="8">
        <f t="shared" si="10"/>
        <v>183362</v>
      </c>
      <c r="U37" s="43">
        <f t="shared" si="11"/>
        <v>2426.3959699200268</v>
      </c>
      <c r="V37" s="13">
        <f t="shared" ref="V37:AC37" si="45">D37/$T$37*100</f>
        <v>16.116207283951965</v>
      </c>
      <c r="W37" s="4">
        <f t="shared" si="45"/>
        <v>0</v>
      </c>
      <c r="X37" s="4">
        <f t="shared" si="45"/>
        <v>0</v>
      </c>
      <c r="Y37" s="4">
        <f t="shared" si="45"/>
        <v>0</v>
      </c>
      <c r="Z37" s="4">
        <f t="shared" si="45"/>
        <v>0</v>
      </c>
      <c r="AA37" s="4">
        <f t="shared" si="45"/>
        <v>0</v>
      </c>
      <c r="AB37" s="4">
        <f t="shared" si="45"/>
        <v>0</v>
      </c>
      <c r="AC37" s="45">
        <f t="shared" si="45"/>
        <v>83.883792716048035</v>
      </c>
    </row>
    <row r="38" spans="1:29" ht="16" thickBot="1" x14ac:dyDescent="0.25">
      <c r="A38" s="111" t="s">
        <v>104</v>
      </c>
      <c r="B38" s="9" t="s">
        <v>35</v>
      </c>
      <c r="C38" s="15">
        <v>99.747880680763927</v>
      </c>
      <c r="D38" s="31">
        <v>27299</v>
      </c>
      <c r="E38" s="32"/>
      <c r="F38" s="32"/>
      <c r="G38" s="32"/>
      <c r="H38" s="32">
        <v>130596</v>
      </c>
      <c r="I38" s="32"/>
      <c r="J38" s="32"/>
      <c r="K38" s="33">
        <v>181771</v>
      </c>
      <c r="L38" s="28">
        <f t="shared" si="2"/>
        <v>273.68000015327169</v>
      </c>
      <c r="M38" s="28">
        <f t="shared" si="3"/>
        <v>0</v>
      </c>
      <c r="N38" s="28">
        <f t="shared" si="4"/>
        <v>0</v>
      </c>
      <c r="O38" s="28">
        <f t="shared" si="5"/>
        <v>0</v>
      </c>
      <c r="P38" s="28">
        <f t="shared" si="6"/>
        <v>1309.2608996672652</v>
      </c>
      <c r="Q38" s="28">
        <f t="shared" si="7"/>
        <v>0</v>
      </c>
      <c r="R38" s="28">
        <f t="shared" si="8"/>
        <v>0</v>
      </c>
      <c r="S38" s="42">
        <f t="shared" si="9"/>
        <v>1822.3043814007967</v>
      </c>
      <c r="T38" s="9">
        <f t="shared" si="10"/>
        <v>339666</v>
      </c>
      <c r="U38" s="43">
        <f t="shared" si="11"/>
        <v>3405.2452812213337</v>
      </c>
      <c r="V38" s="15">
        <f t="shared" ref="V38:AC38" si="46">D38/$T$38*100</f>
        <v>8.0370128302508927</v>
      </c>
      <c r="W38" s="16">
        <f t="shared" si="46"/>
        <v>0</v>
      </c>
      <c r="X38" s="16">
        <f t="shared" si="46"/>
        <v>0</v>
      </c>
      <c r="Y38" s="16">
        <f t="shared" si="46"/>
        <v>0</v>
      </c>
      <c r="Z38" s="16">
        <f t="shared" si="46"/>
        <v>38.448358092950137</v>
      </c>
      <c r="AA38" s="16">
        <f t="shared" si="46"/>
        <v>0</v>
      </c>
      <c r="AB38" s="16">
        <f t="shared" si="46"/>
        <v>0</v>
      </c>
      <c r="AC38" s="46">
        <f t="shared" si="46"/>
        <v>53.514629076798968</v>
      </c>
    </row>
  </sheetData>
  <mergeCells count="7">
    <mergeCell ref="V1:AC1"/>
    <mergeCell ref="U1:U2"/>
    <mergeCell ref="A1:B2"/>
    <mergeCell ref="C1:C2"/>
    <mergeCell ref="D1:K1"/>
    <mergeCell ref="L1:S1"/>
    <mergeCell ref="T1:T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5"/>
  <sheetViews>
    <sheetView topLeftCell="A15" zoomScale="70" zoomScaleNormal="70" workbookViewId="0">
      <selection activeCell="I45" sqref="I45"/>
    </sheetView>
  </sheetViews>
  <sheetFormatPr baseColWidth="10" defaultColWidth="13.1640625" defaultRowHeight="15" x14ac:dyDescent="0.2"/>
  <cols>
    <col min="1" max="1" width="13.1640625" style="2"/>
    <col min="2" max="2" width="27.1640625" style="2" customWidth="1"/>
    <col min="3" max="3" width="13.1640625" style="2"/>
    <col min="4" max="4" width="21.33203125" style="2" bestFit="1" customWidth="1"/>
    <col min="5" max="6" width="13.1640625" style="2"/>
    <col min="9" max="9" width="21.5" bestFit="1" customWidth="1"/>
  </cols>
  <sheetData>
    <row r="1" spans="1:18" ht="16" x14ac:dyDescent="0.2">
      <c r="A1" s="20" t="s">
        <v>58</v>
      </c>
      <c r="B1" s="20" t="s">
        <v>59</v>
      </c>
      <c r="C1" s="20" t="s">
        <v>60</v>
      </c>
      <c r="D1" s="20" t="s">
        <v>61</v>
      </c>
    </row>
    <row r="2" spans="1:18" x14ac:dyDescent="0.2">
      <c r="A2" s="2" t="s">
        <v>62</v>
      </c>
      <c r="C2" s="21">
        <v>9.2338254701684983E-2</v>
      </c>
      <c r="D2" s="21">
        <v>9.5354807401667727E-2</v>
      </c>
    </row>
    <row r="3" spans="1:18" x14ac:dyDescent="0.2">
      <c r="A3" s="2">
        <v>25</v>
      </c>
      <c r="B3" s="2" t="s">
        <v>63</v>
      </c>
      <c r="C3" s="21">
        <v>0.12239344659065027</v>
      </c>
      <c r="D3" s="21">
        <v>0.12731589777148392</v>
      </c>
    </row>
    <row r="4" spans="1:18" x14ac:dyDescent="0.2">
      <c r="A4" s="2">
        <v>50</v>
      </c>
      <c r="B4" s="2" t="s">
        <v>64</v>
      </c>
      <c r="C4" s="21">
        <v>0.14440570665403227</v>
      </c>
      <c r="D4" s="21">
        <v>0.15088799545519532</v>
      </c>
    </row>
    <row r="5" spans="1:18" x14ac:dyDescent="0.2">
      <c r="A5" s="2">
        <v>100</v>
      </c>
      <c r="B5" s="2" t="s">
        <v>65</v>
      </c>
      <c r="C5" s="21">
        <v>0.1926339247342039</v>
      </c>
      <c r="D5" s="21">
        <v>0.19204237677825797</v>
      </c>
    </row>
    <row r="6" spans="1:18" x14ac:dyDescent="0.2">
      <c r="A6" s="2">
        <v>200</v>
      </c>
      <c r="B6" s="2" t="s">
        <v>66</v>
      </c>
      <c r="C6" s="21">
        <v>0.27909399917266747</v>
      </c>
      <c r="D6" s="21">
        <v>0.28638813036468347</v>
      </c>
    </row>
    <row r="7" spans="1:18" x14ac:dyDescent="0.2">
      <c r="A7" s="2">
        <v>400</v>
      </c>
      <c r="B7" s="2" t="s">
        <v>67</v>
      </c>
      <c r="C7" s="21">
        <v>0.40477787948433086</v>
      </c>
      <c r="D7" s="21">
        <v>0.42788808353596303</v>
      </c>
    </row>
    <row r="8" spans="1:18" x14ac:dyDescent="0.2">
      <c r="A8" s="2">
        <v>600</v>
      </c>
      <c r="B8" s="2" t="s">
        <v>68</v>
      </c>
      <c r="C8" s="21">
        <v>0.51448788881680352</v>
      </c>
      <c r="D8" s="21">
        <v>0.52204984989694903</v>
      </c>
    </row>
    <row r="10" spans="1:18" x14ac:dyDescent="0.2">
      <c r="A10" s="19">
        <v>1</v>
      </c>
      <c r="B10" s="19" t="s">
        <v>18</v>
      </c>
      <c r="C10" s="22" t="s">
        <v>69</v>
      </c>
      <c r="D10" s="22" t="s">
        <v>70</v>
      </c>
      <c r="E10" s="21">
        <v>0.23814227821800468</v>
      </c>
      <c r="F10" s="21">
        <v>0.24525846649340283</v>
      </c>
      <c r="G10">
        <v>151.61856590318203</v>
      </c>
    </row>
    <row r="11" spans="1:18" x14ac:dyDescent="0.2">
      <c r="A11" s="19">
        <v>2</v>
      </c>
      <c r="B11" s="19" t="s">
        <v>19</v>
      </c>
      <c r="C11" s="2" t="s">
        <v>71</v>
      </c>
      <c r="D11" s="2" t="s">
        <v>72</v>
      </c>
      <c r="E11" s="21">
        <v>0.22975254298969619</v>
      </c>
      <c r="F11" s="21">
        <v>0.24161627685678866</v>
      </c>
      <c r="G11">
        <v>144.60827361219867</v>
      </c>
      <c r="R11" s="18"/>
    </row>
    <row r="12" spans="1:18" ht="16" x14ac:dyDescent="0.2">
      <c r="A12" s="19">
        <v>3</v>
      </c>
      <c r="B12" s="19" t="s">
        <v>20</v>
      </c>
      <c r="C12" s="23" t="s">
        <v>73</v>
      </c>
      <c r="D12" s="23" t="s">
        <v>74</v>
      </c>
      <c r="E12" s="21">
        <v>0.21740308057539806</v>
      </c>
      <c r="F12" s="21">
        <v>0.22183264532570399</v>
      </c>
      <c r="G12">
        <v>126.18510720293932</v>
      </c>
    </row>
    <row r="13" spans="1:18" ht="16" x14ac:dyDescent="0.2">
      <c r="A13" s="19">
        <v>4</v>
      </c>
      <c r="B13" s="19" t="s">
        <v>21</v>
      </c>
      <c r="C13" s="2" t="s">
        <v>75</v>
      </c>
      <c r="D13" s="23" t="s">
        <v>76</v>
      </c>
      <c r="E13" s="21">
        <v>0.2305443924766527</v>
      </c>
      <c r="F13" s="21">
        <v>0.23158787700739653</v>
      </c>
      <c r="G13">
        <v>139.22341121667353</v>
      </c>
    </row>
    <row r="14" spans="1:18" ht="16" x14ac:dyDescent="0.2">
      <c r="A14" s="19">
        <v>5</v>
      </c>
      <c r="B14" s="19" t="s">
        <v>22</v>
      </c>
      <c r="C14" s="2" t="s">
        <v>77</v>
      </c>
      <c r="D14" s="23" t="s">
        <v>78</v>
      </c>
      <c r="E14" s="21">
        <v>0.23977459250284969</v>
      </c>
      <c r="F14" s="21">
        <v>0.24413667472433975</v>
      </c>
      <c r="G14">
        <v>151.90975415986941</v>
      </c>
    </row>
    <row r="15" spans="1:18" ht="16" x14ac:dyDescent="0.2">
      <c r="A15" s="19">
        <v>6</v>
      </c>
      <c r="B15" s="19" t="s">
        <v>23</v>
      </c>
      <c r="C15" s="23" t="s">
        <v>79</v>
      </c>
      <c r="D15" s="23" t="s">
        <v>80</v>
      </c>
      <c r="E15" s="21">
        <v>0.20020977028316983</v>
      </c>
      <c r="F15" s="21">
        <v>0.20804201508823492</v>
      </c>
      <c r="G15">
        <v>108.99908875208385</v>
      </c>
    </row>
    <row r="16" spans="1:18" x14ac:dyDescent="0.2">
      <c r="A16" s="19">
        <v>7</v>
      </c>
      <c r="B16" s="19" t="s">
        <v>24</v>
      </c>
      <c r="C16" s="2" t="s">
        <v>81</v>
      </c>
      <c r="D16" s="2" t="s">
        <v>82</v>
      </c>
      <c r="E16" s="21">
        <v>0.23989928832180688</v>
      </c>
      <c r="F16" s="21">
        <v>0.25211072305707088</v>
      </c>
      <c r="G16">
        <v>156.73380954252787</v>
      </c>
      <c r="M16" s="18"/>
    </row>
    <row r="17" spans="1:7" x14ac:dyDescent="0.2">
      <c r="A17" s="19">
        <v>8</v>
      </c>
      <c r="B17" s="19" t="s">
        <v>25</v>
      </c>
      <c r="C17" s="2" t="s">
        <v>83</v>
      </c>
      <c r="D17" s="2" t="s">
        <v>84</v>
      </c>
      <c r="E17" s="21">
        <v>0.23581594932167685</v>
      </c>
      <c r="F17" s="21">
        <v>0.23646384879305665</v>
      </c>
      <c r="G17">
        <v>145.0979296286427</v>
      </c>
    </row>
    <row r="18" spans="1:7" ht="16" x14ac:dyDescent="0.2">
      <c r="A18" s="19">
        <v>9</v>
      </c>
      <c r="B18" s="19" t="s">
        <v>26</v>
      </c>
      <c r="C18" s="23" t="s">
        <v>85</v>
      </c>
      <c r="D18" s="23" t="s">
        <v>86</v>
      </c>
      <c r="E18" s="21">
        <v>0.21777541125784822</v>
      </c>
      <c r="F18" s="21">
        <v>0.22422075538982608</v>
      </c>
      <c r="G18">
        <v>127.74830304604941</v>
      </c>
    </row>
    <row r="19" spans="1:7" ht="16" x14ac:dyDescent="0.2">
      <c r="A19" s="19">
        <v>10</v>
      </c>
      <c r="B19" s="19" t="s">
        <v>27</v>
      </c>
      <c r="C19" s="23" t="s">
        <v>87</v>
      </c>
      <c r="D19" s="2" t="s">
        <v>88</v>
      </c>
      <c r="E19" s="21">
        <v>0.22272982558310622</v>
      </c>
      <c r="F19" s="21">
        <v>0.22400053679768667</v>
      </c>
      <c r="G19">
        <v>130.41766483297067</v>
      </c>
    </row>
    <row r="20" spans="1:7" ht="16" x14ac:dyDescent="0.2">
      <c r="A20" s="19">
        <v>11</v>
      </c>
      <c r="B20" s="19" t="s">
        <v>28</v>
      </c>
      <c r="C20" s="23" t="s">
        <v>89</v>
      </c>
      <c r="D20" s="2" t="s">
        <v>90</v>
      </c>
      <c r="E20" s="21">
        <v>0.22002618049681821</v>
      </c>
      <c r="F20" s="21">
        <v>0.21781004500435333</v>
      </c>
      <c r="G20">
        <v>125.39322005484902</v>
      </c>
    </row>
    <row r="21" spans="1:7" ht="16" x14ac:dyDescent="0.2">
      <c r="A21" s="19">
        <v>12</v>
      </c>
      <c r="B21" s="19" t="s">
        <v>29</v>
      </c>
      <c r="C21" s="23" t="s">
        <v>91</v>
      </c>
      <c r="D21" s="2" t="s">
        <v>92</v>
      </c>
      <c r="E21" s="21">
        <v>0.21085890048048589</v>
      </c>
      <c r="F21" s="21">
        <v>0.22117418208953415</v>
      </c>
      <c r="G21">
        <v>122.16499836554055</v>
      </c>
    </row>
    <row r="22" spans="1:7" ht="16" x14ac:dyDescent="0.2">
      <c r="A22" s="19">
        <v>13</v>
      </c>
      <c r="B22" s="19" t="s">
        <v>30</v>
      </c>
      <c r="C22" s="23" t="s">
        <v>93</v>
      </c>
      <c r="D22" s="2" t="s">
        <v>94</v>
      </c>
      <c r="E22" s="21">
        <v>0.23500082564386629</v>
      </c>
      <c r="F22" s="21">
        <v>0.24030763423536169</v>
      </c>
      <c r="G22">
        <v>146.87068065753425</v>
      </c>
    </row>
    <row r="23" spans="1:7" ht="16" x14ac:dyDescent="0.2">
      <c r="A23" s="19">
        <v>14</v>
      </c>
      <c r="B23" s="19" t="s">
        <v>31</v>
      </c>
      <c r="C23" s="23" t="s">
        <v>95</v>
      </c>
      <c r="D23" s="2" t="s">
        <v>96</v>
      </c>
      <c r="E23" s="21">
        <v>0.22100202087999252</v>
      </c>
      <c r="F23" s="21">
        <v>0.22655002664258581</v>
      </c>
      <c r="G23">
        <v>130.89217923422584</v>
      </c>
    </row>
    <row r="24" spans="1:7" ht="16" x14ac:dyDescent="0.2">
      <c r="A24" s="19">
        <v>15</v>
      </c>
      <c r="B24" s="19" t="s">
        <v>32</v>
      </c>
      <c r="C24" s="23" t="s">
        <v>97</v>
      </c>
      <c r="D24" s="2" t="s">
        <v>98</v>
      </c>
      <c r="E24" s="21">
        <v>0.1605660908822828</v>
      </c>
      <c r="F24" s="21">
        <v>0.17151096798134563</v>
      </c>
      <c r="G24">
        <v>68.818694063301194</v>
      </c>
    </row>
    <row r="25" spans="1:7" ht="16" x14ac:dyDescent="0.2">
      <c r="A25" s="19">
        <v>16</v>
      </c>
      <c r="B25" s="19" t="s">
        <v>33</v>
      </c>
      <c r="C25" s="23" t="s">
        <v>99</v>
      </c>
      <c r="D25" s="2" t="s">
        <v>100</v>
      </c>
      <c r="E25" s="21">
        <v>0.21966582915698826</v>
      </c>
      <c r="F25" s="21">
        <v>0.22744621051667055</v>
      </c>
      <c r="G25">
        <v>130.65055284958299</v>
      </c>
    </row>
    <row r="26" spans="1:7" ht="16" x14ac:dyDescent="0.2">
      <c r="A26" s="19">
        <v>17</v>
      </c>
      <c r="B26" s="19" t="s">
        <v>34</v>
      </c>
      <c r="C26" s="23" t="s">
        <v>101</v>
      </c>
      <c r="D26" s="2" t="s">
        <v>102</v>
      </c>
      <c r="E26" s="21">
        <v>0.20391065369821829</v>
      </c>
      <c r="F26" s="21">
        <v>0.20700848748759709</v>
      </c>
      <c r="G26">
        <v>110.44600086309183</v>
      </c>
    </row>
    <row r="27" spans="1:7" ht="16" x14ac:dyDescent="0.2">
      <c r="A27" s="19">
        <v>18</v>
      </c>
      <c r="B27" s="19" t="s">
        <v>35</v>
      </c>
      <c r="C27" s="23" t="s">
        <v>103</v>
      </c>
      <c r="D27" s="2" t="s">
        <v>104</v>
      </c>
      <c r="E27" s="21">
        <v>0.20405678189300175</v>
      </c>
      <c r="F27" s="21">
        <v>0.21957926565825947</v>
      </c>
      <c r="G27">
        <v>117.52188726819432</v>
      </c>
    </row>
    <row r="28" spans="1:7" x14ac:dyDescent="0.2">
      <c r="A28" s="19">
        <v>19</v>
      </c>
      <c r="B28" s="19" t="s">
        <v>0</v>
      </c>
      <c r="C28" s="2" t="s">
        <v>105</v>
      </c>
      <c r="D28" s="2" t="s">
        <v>106</v>
      </c>
      <c r="E28" s="21">
        <v>0.18825242155004532</v>
      </c>
      <c r="F28" s="21">
        <v>0.19817683336131797</v>
      </c>
      <c r="G28">
        <v>97.198118384657477</v>
      </c>
    </row>
    <row r="29" spans="1:7" x14ac:dyDescent="0.2">
      <c r="A29" s="19">
        <v>20</v>
      </c>
      <c r="B29" s="19" t="s">
        <v>1</v>
      </c>
      <c r="C29" s="2" t="s">
        <v>107</v>
      </c>
      <c r="D29" s="2" t="s">
        <v>108</v>
      </c>
      <c r="E29" s="21">
        <v>0.21740461847532852</v>
      </c>
      <c r="F29" s="21">
        <v>0.22381554579084104</v>
      </c>
      <c r="G29">
        <v>127.31000379392765</v>
      </c>
    </row>
    <row r="30" spans="1:7" ht="16" x14ac:dyDescent="0.2">
      <c r="A30" s="19">
        <v>21</v>
      </c>
      <c r="B30" s="19" t="s">
        <v>2</v>
      </c>
      <c r="C30" s="23" t="s">
        <v>109</v>
      </c>
      <c r="D30" s="23" t="s">
        <v>110</v>
      </c>
      <c r="E30" s="21">
        <v>0.23067360090134192</v>
      </c>
      <c r="F30" s="21">
        <v>0.23871854398763584</v>
      </c>
      <c r="G30">
        <v>143.4385517594913</v>
      </c>
    </row>
    <row r="31" spans="1:7" ht="16" x14ac:dyDescent="0.2">
      <c r="A31" s="19">
        <v>22</v>
      </c>
      <c r="B31" s="19" t="s">
        <v>3</v>
      </c>
      <c r="C31" s="2" t="s">
        <v>111</v>
      </c>
      <c r="D31" s="23" t="s">
        <v>112</v>
      </c>
      <c r="E31" s="21">
        <v>0.20513039200792471</v>
      </c>
      <c r="F31" s="21">
        <v>0.20633257649244721</v>
      </c>
      <c r="G31">
        <v>110.74207412094421</v>
      </c>
    </row>
    <row r="32" spans="1:7" ht="16" x14ac:dyDescent="0.2">
      <c r="A32" s="19">
        <v>23</v>
      </c>
      <c r="B32" s="19" t="s">
        <v>4</v>
      </c>
      <c r="C32" s="2" t="s">
        <v>113</v>
      </c>
      <c r="D32" s="23" t="s">
        <v>114</v>
      </c>
      <c r="E32" s="21">
        <v>0.22593477517350197</v>
      </c>
      <c r="F32" s="21">
        <v>0.23282823844984918</v>
      </c>
      <c r="G32">
        <v>137.29877325454129</v>
      </c>
    </row>
    <row r="33" spans="1:7" ht="16" x14ac:dyDescent="0.2">
      <c r="A33" s="19">
        <v>24</v>
      </c>
      <c r="B33" s="19" t="s">
        <v>5</v>
      </c>
      <c r="C33" s="23" t="s">
        <v>115</v>
      </c>
      <c r="D33" s="23" t="s">
        <v>116</v>
      </c>
      <c r="E33" s="21">
        <v>0.22444499327989401</v>
      </c>
      <c r="F33" s="21">
        <v>0.23334324466027703</v>
      </c>
      <c r="G33">
        <v>136.74822250998346</v>
      </c>
    </row>
    <row r="34" spans="1:7" x14ac:dyDescent="0.2">
      <c r="A34" s="19">
        <v>25</v>
      </c>
      <c r="B34" s="19" t="s">
        <v>6</v>
      </c>
      <c r="C34" s="2" t="s">
        <v>117</v>
      </c>
      <c r="D34" s="2" t="s">
        <v>118</v>
      </c>
      <c r="E34" s="21">
        <v>0.2102526076021195</v>
      </c>
      <c r="F34" s="21">
        <v>0.21258476316377031</v>
      </c>
      <c r="G34">
        <v>117.01602075231662</v>
      </c>
    </row>
    <row r="35" spans="1:7" x14ac:dyDescent="0.2">
      <c r="A35" s="19">
        <v>26</v>
      </c>
      <c r="B35" s="19" t="s">
        <v>7</v>
      </c>
      <c r="C35" s="2" t="s">
        <v>119</v>
      </c>
      <c r="D35" s="2" t="s">
        <v>120</v>
      </c>
      <c r="E35" s="21">
        <v>0.21164660343075603</v>
      </c>
      <c r="F35" s="21">
        <v>0.22480229414162942</v>
      </c>
      <c r="G35">
        <v>124.6589491999994</v>
      </c>
    </row>
    <row r="36" spans="1:7" ht="16" x14ac:dyDescent="0.2">
      <c r="A36" s="19">
        <v>27</v>
      </c>
      <c r="B36" s="19" t="s">
        <v>8</v>
      </c>
      <c r="C36" s="23" t="s">
        <v>121</v>
      </c>
      <c r="D36" s="23" t="s">
        <v>122</v>
      </c>
      <c r="E36" s="21">
        <v>0.21773308487367365</v>
      </c>
      <c r="F36" s="21">
        <v>0.23138136172508902</v>
      </c>
      <c r="G36">
        <v>131.82322224628973</v>
      </c>
    </row>
    <row r="37" spans="1:7" ht="16" x14ac:dyDescent="0.2">
      <c r="A37" s="19">
        <v>28</v>
      </c>
      <c r="B37" s="19" t="s">
        <v>9</v>
      </c>
      <c r="C37" s="23" t="s">
        <v>123</v>
      </c>
      <c r="D37" s="2" t="s">
        <v>124</v>
      </c>
      <c r="E37" s="21">
        <v>0.20956634629617457</v>
      </c>
      <c r="F37" s="21">
        <v>0.21884262870405985</v>
      </c>
      <c r="G37">
        <v>120.13545845490287</v>
      </c>
    </row>
    <row r="38" spans="1:7" ht="16" x14ac:dyDescent="0.2">
      <c r="A38" s="19">
        <v>29</v>
      </c>
      <c r="B38" s="19" t="s">
        <v>10</v>
      </c>
      <c r="C38" s="23" t="s">
        <v>125</v>
      </c>
      <c r="D38" s="2" t="s">
        <v>126</v>
      </c>
      <c r="E38" s="21">
        <v>0.22106793039759851</v>
      </c>
      <c r="F38" s="21">
        <v>0.23125908742766768</v>
      </c>
      <c r="G38">
        <v>133.6306416614492</v>
      </c>
    </row>
    <row r="39" spans="1:7" ht="16" x14ac:dyDescent="0.2">
      <c r="A39" s="19">
        <v>30</v>
      </c>
      <c r="B39" s="19" t="s">
        <v>11</v>
      </c>
      <c r="C39" s="23" t="s">
        <v>127</v>
      </c>
      <c r="D39" s="2" t="s">
        <v>128</v>
      </c>
      <c r="E39" s="21">
        <v>0.18187069811127929</v>
      </c>
      <c r="F39" s="21">
        <v>0.19041416196130589</v>
      </c>
      <c r="G39">
        <v>89.665815943679206</v>
      </c>
    </row>
    <row r="40" spans="1:7" ht="16" x14ac:dyDescent="0.2">
      <c r="A40" s="19">
        <v>31</v>
      </c>
      <c r="B40" s="19" t="s">
        <v>12</v>
      </c>
      <c r="C40" s="23" t="s">
        <v>129</v>
      </c>
      <c r="D40" s="2" t="s">
        <v>130</v>
      </c>
      <c r="E40" s="21">
        <v>0.21057646403413496</v>
      </c>
      <c r="F40" s="21">
        <v>0.21256194982533561</v>
      </c>
      <c r="G40">
        <v>117.18257637794109</v>
      </c>
    </row>
    <row r="41" spans="1:7" ht="16" x14ac:dyDescent="0.2">
      <c r="A41" s="19">
        <v>32</v>
      </c>
      <c r="B41" s="19" t="s">
        <v>13</v>
      </c>
      <c r="C41" s="23" t="s">
        <v>131</v>
      </c>
      <c r="D41" s="2" t="s">
        <v>132</v>
      </c>
      <c r="E41" s="21">
        <v>0.19027110728631053</v>
      </c>
      <c r="F41" s="21">
        <v>0.1899670920016629</v>
      </c>
      <c r="G41">
        <v>93.866959001563146</v>
      </c>
    </row>
    <row r="42" spans="1:7" ht="16" x14ac:dyDescent="0.2">
      <c r="A42" s="19">
        <v>33</v>
      </c>
      <c r="B42" s="19" t="s">
        <v>14</v>
      </c>
      <c r="C42" s="23" t="s">
        <v>133</v>
      </c>
      <c r="D42" s="2" t="s">
        <v>134</v>
      </c>
      <c r="E42" s="21">
        <v>0.21671848722713433</v>
      </c>
      <c r="F42" s="21">
        <v>0.21932817456528128</v>
      </c>
      <c r="G42">
        <v>124.3878226689603</v>
      </c>
    </row>
    <row r="43" spans="1:7" ht="16" x14ac:dyDescent="0.2">
      <c r="A43" s="19">
        <v>34</v>
      </c>
      <c r="B43" s="19" t="s">
        <v>15</v>
      </c>
      <c r="C43" s="23" t="s">
        <v>135</v>
      </c>
      <c r="D43" s="2" t="s">
        <v>136</v>
      </c>
      <c r="E43" s="21">
        <v>0.20913157020309114</v>
      </c>
      <c r="F43" s="21">
        <v>0.21244714088104186</v>
      </c>
      <c r="G43">
        <v>116.31998434140461</v>
      </c>
    </row>
    <row r="44" spans="1:7" ht="16" x14ac:dyDescent="0.2">
      <c r="A44" s="19">
        <v>35</v>
      </c>
      <c r="B44" s="19" t="s">
        <v>16</v>
      </c>
      <c r="C44" s="23" t="s">
        <v>137</v>
      </c>
      <c r="D44" s="2" t="s">
        <v>138</v>
      </c>
      <c r="E44" s="21">
        <v>0.16922011428892672</v>
      </c>
      <c r="F44" s="21">
        <v>0.17606911909875073</v>
      </c>
      <c r="G44">
        <v>75.56969360035805</v>
      </c>
    </row>
    <row r="45" spans="1:7" ht="16" x14ac:dyDescent="0.2">
      <c r="A45" s="19">
        <v>36</v>
      </c>
      <c r="B45" s="19" t="s">
        <v>17</v>
      </c>
      <c r="C45" s="23" t="s">
        <v>139</v>
      </c>
      <c r="D45" s="2" t="s">
        <v>140</v>
      </c>
      <c r="E45" s="21">
        <v>0.19162913442407953</v>
      </c>
      <c r="F45" s="21">
        <v>0.19956648964882251</v>
      </c>
      <c r="G45">
        <v>99.747880680763927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11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0.6640625" customWidth="1"/>
    <col min="3" max="3" width="20.1640625" style="3" bestFit="1" customWidth="1"/>
    <col min="4" max="12" width="19.5" style="3" bestFit="1" customWidth="1"/>
    <col min="13" max="14" width="20.1640625" style="3" bestFit="1" customWidth="1"/>
  </cols>
  <sheetData>
    <row r="1" spans="1:40" ht="16" thickBot="1" x14ac:dyDescent="0.25">
      <c r="B1" s="53">
        <v>1</v>
      </c>
      <c r="C1"/>
      <c r="D1"/>
      <c r="E1"/>
      <c r="F1" t="s">
        <v>142</v>
      </c>
      <c r="G1"/>
      <c r="H1"/>
      <c r="I1" t="s">
        <v>143</v>
      </c>
      <c r="J1"/>
      <c r="K1"/>
      <c r="L1"/>
      <c r="M1"/>
      <c r="N1"/>
      <c r="P1" t="s">
        <v>144</v>
      </c>
    </row>
    <row r="2" spans="1:40" ht="17" thickTop="1" thickBot="1" x14ac:dyDescent="0.25">
      <c r="A2" s="54"/>
      <c r="B2" s="55"/>
      <c r="C2" s="18">
        <v>9.2338254701684983E-2</v>
      </c>
      <c r="D2" s="18">
        <v>9.5354807401667727E-2</v>
      </c>
      <c r="E2" s="18">
        <v>0.23814227821800468</v>
      </c>
      <c r="F2" s="18">
        <v>0.24525846649340283</v>
      </c>
      <c r="G2" s="18">
        <v>0.21777541125784822</v>
      </c>
      <c r="H2" s="18">
        <v>0.22422075538982608</v>
      </c>
      <c r="I2" s="18">
        <v>0.20391065369821829</v>
      </c>
      <c r="J2" s="18">
        <v>0.20700848748759709</v>
      </c>
      <c r="K2" s="18">
        <v>0.2102526076021195</v>
      </c>
      <c r="L2" s="18">
        <v>0.21258476316377031</v>
      </c>
      <c r="M2" s="18">
        <v>0.21671848722713433</v>
      </c>
      <c r="N2" s="18">
        <v>0.21932817456528128</v>
      </c>
      <c r="P2" s="56" t="s">
        <v>145</v>
      </c>
      <c r="Q2" s="56"/>
      <c r="R2" s="56"/>
      <c r="S2" s="57" t="s">
        <v>146</v>
      </c>
      <c r="T2" s="57"/>
      <c r="U2" s="57"/>
      <c r="V2" s="58" t="s">
        <v>147</v>
      </c>
      <c r="W2" s="59"/>
      <c r="X2" s="59"/>
      <c r="Y2" s="60" t="s">
        <v>148</v>
      </c>
      <c r="Z2" s="61"/>
      <c r="AA2" s="61"/>
      <c r="AC2">
        <v>0.17399999999999999</v>
      </c>
      <c r="AD2">
        <v>0.1893</v>
      </c>
      <c r="AE2">
        <v>0.1837</v>
      </c>
      <c r="AF2">
        <v>0.18240000000000001</v>
      </c>
      <c r="AG2">
        <v>0.17580000000000001</v>
      </c>
      <c r="AH2">
        <v>0.16259999999999999</v>
      </c>
      <c r="AI2">
        <v>0.2389</v>
      </c>
      <c r="AJ2">
        <v>0.23849999999999999</v>
      </c>
      <c r="AK2">
        <v>0.1832</v>
      </c>
      <c r="AL2">
        <v>0.26219999999999999</v>
      </c>
      <c r="AM2">
        <v>0.32340000000000002</v>
      </c>
      <c r="AN2">
        <v>4.2799999999999998E-2</v>
      </c>
    </row>
    <row r="3" spans="1:40" ht="17" thickTop="1" thickBot="1" x14ac:dyDescent="0.25">
      <c r="A3" s="54"/>
      <c r="B3" s="55"/>
      <c r="C3" s="18">
        <v>0.12239344659065027</v>
      </c>
      <c r="D3" s="18">
        <v>0.12731589777148392</v>
      </c>
      <c r="E3" s="18">
        <v>0.22975254298969619</v>
      </c>
      <c r="F3" s="18">
        <v>0.24161627685678866</v>
      </c>
      <c r="G3" s="18">
        <v>0.22272982558310622</v>
      </c>
      <c r="H3" s="18">
        <v>0.22400053679768667</v>
      </c>
      <c r="I3" s="18">
        <v>0.20405678189300175</v>
      </c>
      <c r="J3" s="18">
        <v>0.21957926565825947</v>
      </c>
      <c r="K3" s="18">
        <v>0.21164660343075603</v>
      </c>
      <c r="L3" s="18">
        <v>0.22480229414162942</v>
      </c>
      <c r="M3" s="18">
        <v>0.20913157020309114</v>
      </c>
      <c r="N3" s="18">
        <v>0.21244714088104186</v>
      </c>
      <c r="P3" s="62"/>
      <c r="Q3" s="62"/>
      <c r="R3" s="62"/>
      <c r="S3" s="63"/>
      <c r="T3" s="63"/>
      <c r="U3" s="63"/>
      <c r="V3" s="64"/>
      <c r="W3" s="65"/>
      <c r="X3" s="65"/>
      <c r="Y3" s="61"/>
      <c r="Z3" s="61"/>
      <c r="AA3" s="61"/>
      <c r="AB3" s="66"/>
      <c r="AC3">
        <v>0.18609999999999999</v>
      </c>
      <c r="AD3">
        <v>0.18940000000000001</v>
      </c>
      <c r="AE3">
        <v>0.18720000000000001</v>
      </c>
      <c r="AF3">
        <v>0.19470000000000001</v>
      </c>
      <c r="AG3">
        <v>0.16689999999999999</v>
      </c>
      <c r="AH3">
        <v>0.17499999999999999</v>
      </c>
      <c r="AI3">
        <v>0.24510000000000001</v>
      </c>
      <c r="AJ3">
        <v>0.23749999999999999</v>
      </c>
      <c r="AK3">
        <v>0.21390000000000001</v>
      </c>
      <c r="AL3">
        <v>0.30080000000000001</v>
      </c>
      <c r="AM3">
        <v>0.2974</v>
      </c>
      <c r="AN3">
        <v>4.3700000000000003E-2</v>
      </c>
    </row>
    <row r="4" spans="1:40" ht="17" thickTop="1" thickBot="1" x14ac:dyDescent="0.25">
      <c r="B4" s="55"/>
      <c r="C4" s="18">
        <v>0.14440570665403227</v>
      </c>
      <c r="D4" s="18">
        <v>0.15088799545519532</v>
      </c>
      <c r="E4" s="18">
        <v>0.21740308057539806</v>
      </c>
      <c r="F4" s="18">
        <v>0.22183264532570399</v>
      </c>
      <c r="G4" s="18">
        <v>0.22002618049681821</v>
      </c>
      <c r="H4" s="18">
        <v>0.21781004500435333</v>
      </c>
      <c r="I4" s="18">
        <v>0.18825242155004532</v>
      </c>
      <c r="J4" s="18">
        <v>0.19817683336131797</v>
      </c>
      <c r="K4" s="18">
        <v>0.21773308487367365</v>
      </c>
      <c r="L4" s="18">
        <v>0.23138136172508902</v>
      </c>
      <c r="M4" s="18">
        <v>0.16922011428892672</v>
      </c>
      <c r="N4" s="18">
        <v>0.17606911909875073</v>
      </c>
      <c r="P4" s="67" t="s">
        <v>149</v>
      </c>
      <c r="Q4" s="67"/>
      <c r="R4" s="67"/>
      <c r="S4" s="68" t="s">
        <v>150</v>
      </c>
      <c r="T4" s="68"/>
      <c r="U4" s="68"/>
      <c r="V4" s="60" t="s">
        <v>151</v>
      </c>
      <c r="W4" s="61"/>
      <c r="X4" s="61"/>
      <c r="Y4" s="69" t="s">
        <v>152</v>
      </c>
      <c r="Z4" s="70"/>
      <c r="AA4" s="70"/>
      <c r="AC4">
        <v>0.18959999999999999</v>
      </c>
      <c r="AD4">
        <v>0.2099</v>
      </c>
      <c r="AE4">
        <v>0.19450000000000001</v>
      </c>
      <c r="AF4">
        <v>0.18629999999999999</v>
      </c>
      <c r="AG4">
        <v>0.1827</v>
      </c>
      <c r="AH4">
        <v>0.17630000000000001</v>
      </c>
      <c r="AI4">
        <v>0.25559999999999999</v>
      </c>
      <c r="AJ4">
        <v>0.24590000000000001</v>
      </c>
      <c r="AK4">
        <v>0.18679999999999999</v>
      </c>
      <c r="AL4">
        <v>0.2359</v>
      </c>
      <c r="AM4">
        <v>0.32450000000000001</v>
      </c>
      <c r="AN4">
        <v>4.3299999999999998E-2</v>
      </c>
    </row>
    <row r="5" spans="1:40" ht="17" thickTop="1" thickBot="1" x14ac:dyDescent="0.25">
      <c r="B5" s="55"/>
      <c r="C5" s="18">
        <v>0.1926339247342039</v>
      </c>
      <c r="D5" s="18">
        <v>0.19204237677825797</v>
      </c>
      <c r="E5" s="18">
        <v>0.2305443924766527</v>
      </c>
      <c r="F5" s="18">
        <v>0.23158787700739653</v>
      </c>
      <c r="G5" s="18">
        <v>0.21085890048048589</v>
      </c>
      <c r="H5" s="18">
        <v>0.22117418208953415</v>
      </c>
      <c r="I5" s="18">
        <v>0.21740461847532852</v>
      </c>
      <c r="J5" s="18">
        <v>0.22381554579084104</v>
      </c>
      <c r="K5" s="18">
        <v>0.20956634629617457</v>
      </c>
      <c r="L5" s="18">
        <v>0.21884262870405985</v>
      </c>
      <c r="M5" s="18">
        <v>0.19162913442407953</v>
      </c>
      <c r="N5" s="18">
        <v>0.19956648964882251</v>
      </c>
      <c r="P5" s="71"/>
      <c r="Q5" s="71"/>
      <c r="R5" s="71"/>
      <c r="S5" s="72"/>
      <c r="T5" s="72"/>
      <c r="U5" s="72"/>
      <c r="V5" s="69"/>
      <c r="W5" s="70"/>
      <c r="X5" s="70"/>
      <c r="Y5" s="70"/>
      <c r="Z5" s="70"/>
      <c r="AA5" s="70"/>
      <c r="AC5">
        <v>0.2412</v>
      </c>
      <c r="AD5">
        <v>0.23130000000000001</v>
      </c>
      <c r="AE5">
        <v>0.2084</v>
      </c>
      <c r="AF5">
        <v>0.20730000000000001</v>
      </c>
      <c r="AG5">
        <v>0.33179999999999998</v>
      </c>
      <c r="AH5">
        <v>0.34649999999999997</v>
      </c>
      <c r="AI5">
        <v>0.30840000000000001</v>
      </c>
      <c r="AJ5">
        <v>0.32450000000000001</v>
      </c>
      <c r="AK5">
        <v>0.20449999999999999</v>
      </c>
      <c r="AL5">
        <v>0.23180000000000001</v>
      </c>
      <c r="AM5">
        <v>0.22309999999999999</v>
      </c>
      <c r="AN5">
        <v>0.18340000000000001</v>
      </c>
    </row>
    <row r="6" spans="1:40" ht="17" thickTop="1" thickBot="1" x14ac:dyDescent="0.25">
      <c r="B6" s="55"/>
      <c r="C6" s="18">
        <v>0.27909399917266747</v>
      </c>
      <c r="D6" s="18">
        <v>0.28638813036468347</v>
      </c>
      <c r="E6" s="18">
        <v>0.23977459250284969</v>
      </c>
      <c r="F6" s="18">
        <v>0.24413667472433975</v>
      </c>
      <c r="G6" s="18">
        <v>0.23500082564386629</v>
      </c>
      <c r="H6" s="18">
        <v>0.24030763423536169</v>
      </c>
      <c r="I6" s="18">
        <v>0.23067360090134192</v>
      </c>
      <c r="J6" s="18">
        <v>0.23871854398763584</v>
      </c>
      <c r="K6" s="18">
        <v>0.22106793039759851</v>
      </c>
      <c r="L6" s="18">
        <v>0.23125908742766768</v>
      </c>
      <c r="M6"/>
      <c r="N6"/>
      <c r="P6" s="56" t="s">
        <v>153</v>
      </c>
      <c r="Q6" s="56"/>
      <c r="R6" s="56"/>
      <c r="S6" s="57" t="s">
        <v>154</v>
      </c>
      <c r="T6" s="57"/>
      <c r="U6" s="57"/>
      <c r="V6" s="58" t="s">
        <v>155</v>
      </c>
      <c r="W6" s="59"/>
      <c r="X6" s="59"/>
      <c r="Y6" s="69" t="s">
        <v>156</v>
      </c>
      <c r="Z6" s="61"/>
      <c r="AA6" s="61"/>
      <c r="AC6">
        <v>0.23039999999999999</v>
      </c>
      <c r="AD6">
        <v>0.23169999999999999</v>
      </c>
      <c r="AE6">
        <v>0.1996</v>
      </c>
      <c r="AF6">
        <v>0.2147</v>
      </c>
      <c r="AG6">
        <v>0.31269999999999998</v>
      </c>
      <c r="AH6">
        <v>0.31209999999999999</v>
      </c>
      <c r="AI6">
        <v>0.30199999999999999</v>
      </c>
      <c r="AJ6">
        <v>0.3009</v>
      </c>
      <c r="AK6">
        <v>0.24510000000000001</v>
      </c>
      <c r="AL6">
        <v>0.2487</v>
      </c>
      <c r="AM6">
        <v>0.24779999999999999</v>
      </c>
      <c r="AN6">
        <v>0.20030000000000001</v>
      </c>
    </row>
    <row r="7" spans="1:40" ht="17" thickTop="1" thickBot="1" x14ac:dyDescent="0.25">
      <c r="C7" s="18">
        <v>0.40477787948433086</v>
      </c>
      <c r="D7" s="18">
        <v>0.42788808353596303</v>
      </c>
      <c r="E7" s="18">
        <v>0.20020977028316983</v>
      </c>
      <c r="F7" s="18">
        <v>0.20804201508823492</v>
      </c>
      <c r="G7" s="18">
        <v>0.22100202087999252</v>
      </c>
      <c r="H7" s="18">
        <v>0.22655002664258581</v>
      </c>
      <c r="I7" s="18">
        <v>0.20513039200792471</v>
      </c>
      <c r="J7" s="18">
        <v>0.20633257649244721</v>
      </c>
      <c r="K7" s="18">
        <v>0.18187069811127929</v>
      </c>
      <c r="L7" s="18">
        <v>0.19041416196130589</v>
      </c>
      <c r="M7"/>
      <c r="N7"/>
      <c r="O7" s="73"/>
      <c r="P7" s="62"/>
      <c r="Q7" s="62"/>
      <c r="R7" s="62"/>
      <c r="S7" s="63"/>
      <c r="T7" s="63"/>
      <c r="U7" s="63"/>
      <c r="V7" s="64"/>
      <c r="W7" s="65"/>
      <c r="X7" s="65"/>
      <c r="Y7" s="69" t="s">
        <v>157</v>
      </c>
      <c r="Z7" s="61"/>
      <c r="AA7" s="61"/>
      <c r="AC7">
        <v>0.24030000000000001</v>
      </c>
      <c r="AD7">
        <v>0.23619999999999999</v>
      </c>
      <c r="AE7">
        <v>0.21590000000000001</v>
      </c>
      <c r="AF7">
        <v>0.21429999999999999</v>
      </c>
      <c r="AG7">
        <v>0.315</v>
      </c>
      <c r="AH7">
        <v>0.31280000000000002</v>
      </c>
      <c r="AI7">
        <v>0.308</v>
      </c>
      <c r="AJ7">
        <v>0.2984</v>
      </c>
      <c r="AK7">
        <v>0.2455</v>
      </c>
      <c r="AL7">
        <v>0.2422</v>
      </c>
      <c r="AM7">
        <v>0.25369999999999998</v>
      </c>
      <c r="AN7">
        <v>0.1956</v>
      </c>
    </row>
    <row r="8" spans="1:40" ht="17" thickTop="1" thickBot="1" x14ac:dyDescent="0.25">
      <c r="B8" s="55"/>
      <c r="C8" s="18">
        <v>0.51448788881680352</v>
      </c>
      <c r="D8" s="18">
        <v>0.52204984989694903</v>
      </c>
      <c r="E8" s="18">
        <v>0.23989928832180688</v>
      </c>
      <c r="F8" s="18">
        <v>0.25211072305707088</v>
      </c>
      <c r="G8" s="18">
        <v>0.1605660908822828</v>
      </c>
      <c r="H8" s="18">
        <v>0.17151096798134563</v>
      </c>
      <c r="I8" s="18">
        <v>0.22593477517350197</v>
      </c>
      <c r="J8" s="18">
        <v>0.23282823844984918</v>
      </c>
      <c r="K8" s="18">
        <v>0.21057646403413496</v>
      </c>
      <c r="L8" s="18">
        <v>0.21256194982533561</v>
      </c>
      <c r="M8" s="18"/>
      <c r="N8"/>
      <c r="P8" s="67" t="s">
        <v>158</v>
      </c>
      <c r="Q8" s="67"/>
      <c r="R8" s="67"/>
      <c r="S8" s="68" t="s">
        <v>159</v>
      </c>
      <c r="T8" s="68"/>
      <c r="U8" s="68"/>
      <c r="V8" s="60" t="s">
        <v>160</v>
      </c>
      <c r="W8" s="61"/>
      <c r="X8" s="61"/>
      <c r="Y8" s="69" t="s">
        <v>161</v>
      </c>
      <c r="Z8" s="70"/>
      <c r="AA8" s="70"/>
      <c r="AC8">
        <v>6.8599999999999994E-2</v>
      </c>
      <c r="AD8">
        <v>0.27510000000000001</v>
      </c>
      <c r="AE8">
        <v>0.58830000000000005</v>
      </c>
      <c r="AF8">
        <v>4.3700000000000003E-2</v>
      </c>
      <c r="AG8">
        <v>6.9000000000000006E-2</v>
      </c>
      <c r="AH8">
        <v>0.18540000000000001</v>
      </c>
      <c r="AI8">
        <v>0.28079999999999999</v>
      </c>
      <c r="AJ8">
        <v>0.44529999999999997</v>
      </c>
      <c r="AK8">
        <v>0.58160000000000001</v>
      </c>
      <c r="AL8">
        <v>4.2599999999999999E-2</v>
      </c>
      <c r="AM8">
        <v>4.41E-2</v>
      </c>
      <c r="AN8">
        <v>4.4400000000000002E-2</v>
      </c>
    </row>
    <row r="9" spans="1:40" ht="17" thickTop="1" thickBot="1" x14ac:dyDescent="0.25">
      <c r="B9" s="55"/>
      <c r="C9"/>
      <c r="D9"/>
      <c r="E9" s="18">
        <v>0.23581594932167685</v>
      </c>
      <c r="F9" s="18">
        <v>0.23646384879305665</v>
      </c>
      <c r="G9" s="18">
        <v>0.21966582915698826</v>
      </c>
      <c r="H9" s="18">
        <v>0.22744621051667055</v>
      </c>
      <c r="I9" s="18">
        <v>0.22444499327989401</v>
      </c>
      <c r="J9" s="18">
        <v>0.23334324466027703</v>
      </c>
      <c r="K9" s="18">
        <v>0.19027110728631053</v>
      </c>
      <c r="L9" s="18">
        <v>0.1899670920016629</v>
      </c>
      <c r="M9"/>
      <c r="N9"/>
      <c r="P9" s="71"/>
      <c r="Q9" s="71"/>
      <c r="R9" s="71"/>
      <c r="S9" s="72"/>
      <c r="T9" s="72"/>
      <c r="U9" s="72"/>
      <c r="V9" s="69"/>
      <c r="W9" s="70"/>
      <c r="X9" s="70"/>
      <c r="Y9" s="69" t="s">
        <v>162</v>
      </c>
      <c r="Z9" s="70"/>
      <c r="AA9" s="70"/>
      <c r="AC9">
        <v>0.18229999999999999</v>
      </c>
      <c r="AD9">
        <v>0.43090000000000001</v>
      </c>
      <c r="AE9">
        <v>4.3799999999999999E-2</v>
      </c>
      <c r="AF9">
        <v>4.19E-2</v>
      </c>
      <c r="AG9">
        <v>7.2099999999999997E-2</v>
      </c>
      <c r="AH9">
        <v>0.18390000000000001</v>
      </c>
      <c r="AI9">
        <v>0.27979999999999999</v>
      </c>
      <c r="AJ9">
        <v>0.44990000000000002</v>
      </c>
      <c r="AK9">
        <v>0.58409999999999995</v>
      </c>
      <c r="AL9">
        <v>4.3799999999999999E-2</v>
      </c>
      <c r="AM9">
        <v>4.3200000000000002E-2</v>
      </c>
      <c r="AN9">
        <v>4.1500000000000002E-2</v>
      </c>
    </row>
    <row r="10" spans="1:40" ht="16" thickTop="1" x14ac:dyDescent="0.2">
      <c r="C10"/>
      <c r="D10"/>
      <c r="E10"/>
      <c r="F10"/>
      <c r="G10"/>
      <c r="H10"/>
      <c r="I10"/>
      <c r="J10"/>
      <c r="K10"/>
      <c r="L10"/>
      <c r="M10"/>
      <c r="N10"/>
      <c r="Y10" s="74"/>
    </row>
    <row r="11" spans="1:40" x14ac:dyDescent="0.2">
      <c r="A11" t="s">
        <v>163</v>
      </c>
      <c r="C11" s="4"/>
      <c r="D11" s="4"/>
      <c r="E11" s="4"/>
      <c r="F11" s="4"/>
      <c r="G11" s="4"/>
      <c r="H11" s="4"/>
      <c r="I11" s="4"/>
      <c r="J11" s="4"/>
      <c r="K11" s="4"/>
      <c r="L11"/>
      <c r="M11"/>
      <c r="N11"/>
      <c r="P11" s="75"/>
      <c r="T11" s="75"/>
      <c r="U11" s="75"/>
    </row>
    <row r="12" spans="1:40" x14ac:dyDescent="0.2">
      <c r="A12" t="s">
        <v>164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P12" s="75" t="s">
        <v>165</v>
      </c>
      <c r="T12" s="75"/>
      <c r="U12" s="75"/>
      <c r="W12" t="s">
        <v>166</v>
      </c>
    </row>
    <row r="13" spans="1:40" ht="16" thickBot="1" x14ac:dyDescent="0.25">
      <c r="C13" s="76" t="s">
        <v>167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P13" s="75"/>
      <c r="R13" s="75"/>
      <c r="S13" s="75"/>
      <c r="T13" s="75"/>
      <c r="U13" s="75"/>
      <c r="Y13" s="77"/>
    </row>
    <row r="14" spans="1:40" ht="17" thickTop="1" thickBot="1" x14ac:dyDescent="0.25">
      <c r="A14" s="78" t="s">
        <v>168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P14" s="75"/>
      <c r="R14" s="75"/>
      <c r="S14" s="75"/>
      <c r="T14" s="75"/>
      <c r="U14" s="75"/>
      <c r="Y14" s="77"/>
    </row>
    <row r="15" spans="1:40" ht="17" thickTop="1" thickBot="1" x14ac:dyDescent="0.25">
      <c r="A15" s="80">
        <v>9.4E-2</v>
      </c>
      <c r="B15" s="81" t="s">
        <v>169</v>
      </c>
      <c r="C15" s="82">
        <f>C2-$A$15</f>
        <v>-1.6617452983150177E-3</v>
      </c>
      <c r="D15" s="82">
        <f t="shared" ref="D15:N15" si="0">D2-$A$15</f>
        <v>1.3548074016677264E-3</v>
      </c>
      <c r="E15" s="82">
        <f t="shared" si="0"/>
        <v>0.14414227821800468</v>
      </c>
      <c r="F15" s="82">
        <f t="shared" si="0"/>
        <v>0.15125846649340283</v>
      </c>
      <c r="G15" s="82">
        <f t="shared" si="0"/>
        <v>0.12377541125784822</v>
      </c>
      <c r="H15" s="82">
        <f t="shared" si="0"/>
        <v>0.13022075538982608</v>
      </c>
      <c r="I15" s="82">
        <f t="shared" si="0"/>
        <v>0.10991065369821829</v>
      </c>
      <c r="J15" s="82">
        <f t="shared" si="0"/>
        <v>0.11300848748759709</v>
      </c>
      <c r="K15" s="82">
        <f t="shared" si="0"/>
        <v>0.1162526076021195</v>
      </c>
      <c r="L15" s="82">
        <f t="shared" si="0"/>
        <v>0.11858476316377031</v>
      </c>
      <c r="M15" s="82">
        <f t="shared" si="0"/>
        <v>0.12271848722713433</v>
      </c>
      <c r="N15" s="82">
        <f t="shared" si="0"/>
        <v>0.12532817456528128</v>
      </c>
      <c r="O15" s="83"/>
      <c r="P15" s="75"/>
      <c r="R15" s="75"/>
      <c r="S15" s="75"/>
      <c r="T15" s="75"/>
      <c r="U15" s="75"/>
      <c r="Y15" s="77"/>
    </row>
    <row r="16" spans="1:40" ht="16" thickTop="1" x14ac:dyDescent="0.2">
      <c r="B16" s="81" t="s">
        <v>170</v>
      </c>
      <c r="C16" s="82">
        <f t="shared" ref="C16:N22" si="1">C3-$A$15</f>
        <v>2.8393446590650268E-2</v>
      </c>
      <c r="D16" s="82">
        <f t="shared" si="1"/>
        <v>3.3315897771483916E-2</v>
      </c>
      <c r="E16" s="82">
        <f t="shared" si="1"/>
        <v>0.13575254298969619</v>
      </c>
      <c r="F16" s="82">
        <f t="shared" si="1"/>
        <v>0.14761627685678866</v>
      </c>
      <c r="G16" s="82">
        <f t="shared" si="1"/>
        <v>0.12872982558310622</v>
      </c>
      <c r="H16" s="82">
        <f t="shared" si="1"/>
        <v>0.13000053679768667</v>
      </c>
      <c r="I16" s="82">
        <f t="shared" si="1"/>
        <v>0.11005678189300175</v>
      </c>
      <c r="J16" s="82">
        <f t="shared" si="1"/>
        <v>0.12557926565825947</v>
      </c>
      <c r="K16" s="82">
        <f t="shared" si="1"/>
        <v>0.11764660343075603</v>
      </c>
      <c r="L16" s="82">
        <f t="shared" si="1"/>
        <v>0.13080229414162942</v>
      </c>
      <c r="M16" s="82">
        <f t="shared" si="1"/>
        <v>0.11513157020309114</v>
      </c>
      <c r="N16" s="82">
        <f t="shared" si="1"/>
        <v>0.11844714088104186</v>
      </c>
      <c r="P16" s="75"/>
      <c r="R16" s="75"/>
      <c r="S16" s="75"/>
      <c r="T16" s="75"/>
      <c r="U16" s="75"/>
      <c r="Y16" s="77"/>
    </row>
    <row r="17" spans="1:30" x14ac:dyDescent="0.2">
      <c r="A17" s="84">
        <f>AVERAGE(C2:D2)</f>
        <v>9.3846531051676355E-2</v>
      </c>
      <c r="B17" s="81" t="s">
        <v>171</v>
      </c>
      <c r="C17" s="82">
        <f t="shared" si="1"/>
        <v>5.0405706654032267E-2</v>
      </c>
      <c r="D17" s="82">
        <f t="shared" si="1"/>
        <v>5.6887995455195323E-2</v>
      </c>
      <c r="E17" s="82">
        <f t="shared" si="1"/>
        <v>0.12340308057539806</v>
      </c>
      <c r="F17" s="82">
        <f t="shared" si="1"/>
        <v>0.12783264532570399</v>
      </c>
      <c r="G17" s="82">
        <f t="shared" si="1"/>
        <v>0.12602618049681821</v>
      </c>
      <c r="H17" s="82">
        <f t="shared" si="1"/>
        <v>0.12381004500435333</v>
      </c>
      <c r="I17" s="82">
        <f t="shared" si="1"/>
        <v>9.4252421550045318E-2</v>
      </c>
      <c r="J17" s="82">
        <f t="shared" si="1"/>
        <v>0.10417683336131797</v>
      </c>
      <c r="K17" s="82">
        <f t="shared" si="1"/>
        <v>0.12373308487367365</v>
      </c>
      <c r="L17" s="82">
        <f t="shared" si="1"/>
        <v>0.13738136172508902</v>
      </c>
      <c r="M17" s="82">
        <f t="shared" si="1"/>
        <v>7.522011428892672E-2</v>
      </c>
      <c r="N17" s="82">
        <f t="shared" si="1"/>
        <v>8.2069119098750726E-2</v>
      </c>
      <c r="Y17" s="77"/>
    </row>
    <row r="18" spans="1:30" x14ac:dyDescent="0.2">
      <c r="B18" s="81" t="s">
        <v>172</v>
      </c>
      <c r="C18" s="82">
        <f t="shared" si="1"/>
        <v>9.8633924734203904E-2</v>
      </c>
      <c r="D18" s="82">
        <f t="shared" si="1"/>
        <v>9.8042376778257972E-2</v>
      </c>
      <c r="E18" s="82">
        <f t="shared" si="1"/>
        <v>0.1365443924766527</v>
      </c>
      <c r="F18" s="82">
        <f t="shared" si="1"/>
        <v>0.13758787700739653</v>
      </c>
      <c r="G18" s="82">
        <f t="shared" si="1"/>
        <v>0.11685890048048589</v>
      </c>
      <c r="H18" s="82">
        <f t="shared" si="1"/>
        <v>0.12717418208953415</v>
      </c>
      <c r="I18" s="82">
        <f t="shared" si="1"/>
        <v>0.12340461847532852</v>
      </c>
      <c r="J18" s="82">
        <f t="shared" si="1"/>
        <v>0.12981554579084104</v>
      </c>
      <c r="K18" s="82">
        <f t="shared" si="1"/>
        <v>0.11556634629617457</v>
      </c>
      <c r="L18" s="82">
        <f t="shared" si="1"/>
        <v>0.12484262870405985</v>
      </c>
      <c r="M18" s="82">
        <f t="shared" si="1"/>
        <v>9.7629134424079528E-2</v>
      </c>
      <c r="N18" s="82">
        <f t="shared" si="1"/>
        <v>0.10556648964882251</v>
      </c>
    </row>
    <row r="19" spans="1:30" x14ac:dyDescent="0.2">
      <c r="B19" s="81" t="s">
        <v>173</v>
      </c>
      <c r="C19" s="82">
        <f t="shared" si="1"/>
        <v>0.18509399917266747</v>
      </c>
      <c r="D19" s="82">
        <f t="shared" si="1"/>
        <v>0.19238813036468347</v>
      </c>
      <c r="E19" s="82">
        <f t="shared" si="1"/>
        <v>0.14577459250284969</v>
      </c>
      <c r="F19" s="82">
        <f t="shared" si="1"/>
        <v>0.15013667472433975</v>
      </c>
      <c r="G19" s="82">
        <f t="shared" si="1"/>
        <v>0.14100082564386629</v>
      </c>
      <c r="H19" s="82">
        <f t="shared" si="1"/>
        <v>0.14630763423536169</v>
      </c>
      <c r="I19" s="82">
        <f t="shared" si="1"/>
        <v>0.13667360090134192</v>
      </c>
      <c r="J19" s="82">
        <f t="shared" si="1"/>
        <v>0.14471854398763584</v>
      </c>
      <c r="K19" s="82">
        <f t="shared" si="1"/>
        <v>0.12706793039759851</v>
      </c>
      <c r="L19" s="82">
        <f t="shared" si="1"/>
        <v>0.13725908742766768</v>
      </c>
      <c r="M19" s="82"/>
      <c r="N19" s="82"/>
      <c r="Y19" s="77"/>
    </row>
    <row r="20" spans="1:30" x14ac:dyDescent="0.2">
      <c r="B20" s="81" t="s">
        <v>174</v>
      </c>
      <c r="C20" s="82">
        <f t="shared" si="1"/>
        <v>0.31077787948433089</v>
      </c>
      <c r="D20" s="82">
        <f t="shared" si="1"/>
        <v>0.333888083535963</v>
      </c>
      <c r="E20" s="82">
        <f t="shared" si="1"/>
        <v>0.10620977028316983</v>
      </c>
      <c r="F20" s="82">
        <f t="shared" si="1"/>
        <v>0.11404201508823492</v>
      </c>
      <c r="G20" s="82">
        <f t="shared" si="1"/>
        <v>0.12700202087999252</v>
      </c>
      <c r="H20" s="82">
        <f t="shared" si="1"/>
        <v>0.13255002664258581</v>
      </c>
      <c r="I20" s="82">
        <f t="shared" si="1"/>
        <v>0.11113039200792471</v>
      </c>
      <c r="J20" s="82">
        <f t="shared" si="1"/>
        <v>0.11233257649244721</v>
      </c>
      <c r="K20" s="82">
        <f t="shared" si="1"/>
        <v>8.7870698111279288E-2</v>
      </c>
      <c r="L20" s="82">
        <f t="shared" si="1"/>
        <v>9.6414161961305894E-2</v>
      </c>
      <c r="M20" s="82"/>
      <c r="N20" s="82"/>
      <c r="Y20" s="77"/>
    </row>
    <row r="21" spans="1:30" x14ac:dyDescent="0.2">
      <c r="B21" s="81" t="s">
        <v>175</v>
      </c>
      <c r="C21" s="82">
        <f t="shared" si="1"/>
        <v>0.42048788881680355</v>
      </c>
      <c r="D21" s="82">
        <f t="shared" si="1"/>
        <v>0.42804984989694905</v>
      </c>
      <c r="E21" s="82">
        <f t="shared" si="1"/>
        <v>0.14589928832180687</v>
      </c>
      <c r="F21" s="82">
        <f t="shared" si="1"/>
        <v>0.15811072305707088</v>
      </c>
      <c r="G21" s="82">
        <f t="shared" si="1"/>
        <v>6.6566090882282797E-2</v>
      </c>
      <c r="H21" s="82">
        <f t="shared" si="1"/>
        <v>7.751096798134563E-2</v>
      </c>
      <c r="I21" s="82">
        <f t="shared" si="1"/>
        <v>0.13193477517350197</v>
      </c>
      <c r="J21" s="82">
        <f t="shared" si="1"/>
        <v>0.13882823844984918</v>
      </c>
      <c r="K21" s="82">
        <f t="shared" si="1"/>
        <v>0.11657646403413496</v>
      </c>
      <c r="L21" s="82">
        <f t="shared" si="1"/>
        <v>0.11856194982533561</v>
      </c>
      <c r="M21" s="82"/>
      <c r="N21" s="82"/>
    </row>
    <row r="22" spans="1:30" x14ac:dyDescent="0.2">
      <c r="B22" s="81" t="s">
        <v>176</v>
      </c>
      <c r="C22" s="82"/>
      <c r="D22" s="82"/>
      <c r="E22" s="82">
        <f t="shared" si="1"/>
        <v>0.14181594932167685</v>
      </c>
      <c r="F22" s="82">
        <f t="shared" si="1"/>
        <v>0.14246384879305665</v>
      </c>
      <c r="G22" s="82">
        <f t="shared" si="1"/>
        <v>0.12566582915698826</v>
      </c>
      <c r="H22" s="82">
        <f t="shared" si="1"/>
        <v>0.13344621051667055</v>
      </c>
      <c r="I22" s="82">
        <f t="shared" si="1"/>
        <v>0.13044499327989401</v>
      </c>
      <c r="J22" s="82">
        <f t="shared" si="1"/>
        <v>0.13934324466027703</v>
      </c>
      <c r="K22" s="82">
        <f t="shared" si="1"/>
        <v>9.6271107286310525E-2</v>
      </c>
      <c r="L22" s="82">
        <f t="shared" si="1"/>
        <v>9.5967092001662896E-2</v>
      </c>
      <c r="M22" s="82"/>
      <c r="N22" s="82"/>
    </row>
    <row r="23" spans="1:30" x14ac:dyDescent="0.2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5" spans="1:30" x14ac:dyDescent="0.2"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30" x14ac:dyDescent="0.2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X26" s="75"/>
      <c r="Y26" s="75"/>
      <c r="Z26" s="75"/>
      <c r="AA26" s="75"/>
      <c r="AB26" s="75"/>
      <c r="AC26" s="75"/>
    </row>
    <row r="27" spans="1:30" ht="16" thickBot="1" x14ac:dyDescent="0.25">
      <c r="C27" t="s">
        <v>177</v>
      </c>
      <c r="D27"/>
      <c r="E27"/>
      <c r="F27"/>
      <c r="G27"/>
      <c r="H27" s="4"/>
      <c r="I27" s="4"/>
      <c r="J27" s="4"/>
      <c r="K27" s="4"/>
      <c r="L27" s="4"/>
      <c r="M27" s="4"/>
      <c r="N27" s="4"/>
      <c r="V27" s="84"/>
      <c r="X27" s="75"/>
      <c r="Y27" s="75"/>
      <c r="Z27" s="75"/>
      <c r="AA27" s="75"/>
      <c r="AB27" s="75"/>
      <c r="AC27" s="75"/>
    </row>
    <row r="28" spans="1:30" ht="17" thickTop="1" thickBot="1" x14ac:dyDescent="0.25">
      <c r="A28" s="78" t="s">
        <v>178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</row>
    <row r="29" spans="1:30" ht="17" thickTop="1" thickBot="1" x14ac:dyDescent="0.25">
      <c r="A29" s="78">
        <v>1.1579999999999999</v>
      </c>
      <c r="B29" s="85">
        <v>50</v>
      </c>
      <c r="C29" s="24">
        <f>C15*$A$31/($A$29-C15)</f>
        <v>-1.4859763041587479</v>
      </c>
      <c r="D29" s="24">
        <f t="shared" ref="D29:N29" si="2">D15*$A$31/($A$29-D15)</f>
        <v>1.214663999401002</v>
      </c>
      <c r="E29" s="24">
        <f t="shared" si="2"/>
        <v>147.43246443825166</v>
      </c>
      <c r="F29" s="24">
        <f t="shared" si="2"/>
        <v>155.8046673681124</v>
      </c>
      <c r="G29" s="24">
        <f t="shared" si="2"/>
        <v>124.10757090053049</v>
      </c>
      <c r="H29" s="24">
        <f t="shared" si="2"/>
        <v>131.38903519156833</v>
      </c>
      <c r="I29" s="24">
        <f t="shared" si="2"/>
        <v>108.74774014946843</v>
      </c>
      <c r="J29" s="24">
        <f t="shared" si="2"/>
        <v>112.14426157671524</v>
      </c>
      <c r="K29" s="24">
        <f t="shared" si="2"/>
        <v>115.72282778256678</v>
      </c>
      <c r="L29" s="24">
        <f t="shared" si="2"/>
        <v>118.30921372206645</v>
      </c>
      <c r="M29" s="24">
        <f t="shared" si="2"/>
        <v>122.92219042305854</v>
      </c>
      <c r="N29" s="24">
        <f t="shared" si="2"/>
        <v>125.85345491486207</v>
      </c>
      <c r="O29" s="54"/>
      <c r="S29">
        <v>0.25890000000000002</v>
      </c>
      <c r="T29">
        <v>0.27579999999999999</v>
      </c>
      <c r="U29">
        <v>0.26279999999999998</v>
      </c>
      <c r="V29">
        <v>0.29409999999999997</v>
      </c>
      <c r="W29">
        <v>0.29060000000000002</v>
      </c>
      <c r="X29">
        <v>0.29870000000000002</v>
      </c>
      <c r="Y29">
        <v>0.2535</v>
      </c>
      <c r="Z29">
        <v>0.249</v>
      </c>
      <c r="AA29">
        <v>0.26729999999999998</v>
      </c>
      <c r="AB29">
        <v>0.308</v>
      </c>
      <c r="AC29">
        <v>0.28139999999999998</v>
      </c>
      <c r="AD29">
        <v>0.28010000000000002</v>
      </c>
    </row>
    <row r="30" spans="1:30" ht="17" thickTop="1" thickBot="1" x14ac:dyDescent="0.25">
      <c r="A30" s="78" t="s">
        <v>179</v>
      </c>
      <c r="B30" s="86">
        <v>100</v>
      </c>
      <c r="C30" s="24">
        <f t="shared" ref="C30:N36" si="3">C16*$A$31/($A$29-C16)</f>
        <v>26.065716444046103</v>
      </c>
      <c r="D30" s="24">
        <f t="shared" si="3"/>
        <v>30.718479900775868</v>
      </c>
      <c r="E30" s="24">
        <f t="shared" si="3"/>
        <v>137.71165300037131</v>
      </c>
      <c r="F30" s="24">
        <f t="shared" si="3"/>
        <v>151.50489422402603</v>
      </c>
      <c r="G30" s="24">
        <f t="shared" si="3"/>
        <v>129.69658739534356</v>
      </c>
      <c r="H30" s="24">
        <f t="shared" si="3"/>
        <v>131.13874227059782</v>
      </c>
      <c r="I30" s="24">
        <f t="shared" si="3"/>
        <v>108.90750648609085</v>
      </c>
      <c r="J30" s="24">
        <f t="shared" si="3"/>
        <v>126.1362680502978</v>
      </c>
      <c r="K30" s="24">
        <f t="shared" si="3"/>
        <v>117.26739025412884</v>
      </c>
      <c r="L30" s="24">
        <f t="shared" si="3"/>
        <v>132.05050814586997</v>
      </c>
      <c r="M30" s="24">
        <f t="shared" si="3"/>
        <v>114.48370176845428</v>
      </c>
      <c r="N30" s="24">
        <f t="shared" si="3"/>
        <v>118.15626691435493</v>
      </c>
      <c r="S30">
        <v>0.28050000000000003</v>
      </c>
      <c r="T30">
        <v>0.28149999999999997</v>
      </c>
      <c r="U30">
        <v>0.2712</v>
      </c>
      <c r="V30">
        <v>0.2944</v>
      </c>
      <c r="W30">
        <v>0.29620000000000002</v>
      </c>
      <c r="X30">
        <v>0.29530000000000001</v>
      </c>
      <c r="Y30">
        <v>0.25940000000000002</v>
      </c>
      <c r="Z30">
        <v>0.25790000000000002</v>
      </c>
      <c r="AA30">
        <v>0.27350000000000002</v>
      </c>
      <c r="AB30">
        <v>0.31709999999999999</v>
      </c>
      <c r="AC30">
        <v>0.30149999999999999</v>
      </c>
      <c r="AD30">
        <v>0.2767</v>
      </c>
    </row>
    <row r="31" spans="1:30" ht="17" thickTop="1" thickBot="1" x14ac:dyDescent="0.25">
      <c r="A31" s="78">
        <v>1037</v>
      </c>
      <c r="B31" s="85">
        <v>200</v>
      </c>
      <c r="C31" s="24">
        <f t="shared" si="3"/>
        <v>47.193018340971356</v>
      </c>
      <c r="D31" s="24">
        <f t="shared" si="3"/>
        <v>53.575704418393812</v>
      </c>
      <c r="E31" s="24">
        <f t="shared" si="3"/>
        <v>123.68971157178645</v>
      </c>
      <c r="F31" s="24">
        <f t="shared" si="3"/>
        <v>128.68050283409221</v>
      </c>
      <c r="G31" s="24">
        <f t="shared" si="3"/>
        <v>126.63998514818675</v>
      </c>
      <c r="H31" s="24">
        <f t="shared" si="3"/>
        <v>124.14645496151128</v>
      </c>
      <c r="I31" s="24">
        <f t="shared" si="3"/>
        <v>91.882475812371766</v>
      </c>
      <c r="J31" s="24">
        <f t="shared" si="3"/>
        <v>102.51376095694317</v>
      </c>
      <c r="K31" s="24">
        <f t="shared" si="3"/>
        <v>124.06005368384771</v>
      </c>
      <c r="L31" s="24">
        <f t="shared" si="3"/>
        <v>139.58639080873172</v>
      </c>
      <c r="M31" s="24">
        <f t="shared" si="3"/>
        <v>72.039811181375455</v>
      </c>
      <c r="N31" s="24">
        <f t="shared" si="3"/>
        <v>79.099576019340645</v>
      </c>
      <c r="O31" s="54"/>
      <c r="S31">
        <v>0.32619999999999999</v>
      </c>
      <c r="T31">
        <v>0.32829999999999998</v>
      </c>
      <c r="U31">
        <v>0.33239999999999997</v>
      </c>
      <c r="V31">
        <v>0.32390000000000002</v>
      </c>
      <c r="W31">
        <v>0.32429999999999998</v>
      </c>
      <c r="X31">
        <v>0.31540000000000001</v>
      </c>
      <c r="Y31">
        <v>0.33410000000000001</v>
      </c>
      <c r="Z31">
        <v>0.3372</v>
      </c>
      <c r="AA31">
        <v>0.3201</v>
      </c>
      <c r="AB31">
        <v>4.3400000000000001E-2</v>
      </c>
      <c r="AC31">
        <v>4.3799999999999999E-2</v>
      </c>
      <c r="AD31">
        <v>4.3999999999999997E-2</v>
      </c>
    </row>
    <row r="32" spans="1:30" ht="16" thickTop="1" x14ac:dyDescent="0.2">
      <c r="B32" s="86">
        <v>400</v>
      </c>
      <c r="C32" s="24">
        <f t="shared" si="3"/>
        <v>96.551496538820572</v>
      </c>
      <c r="D32" s="24">
        <f t="shared" si="3"/>
        <v>95.918876841536019</v>
      </c>
      <c r="E32" s="24">
        <f t="shared" si="3"/>
        <v>138.62230913941349</v>
      </c>
      <c r="F32" s="24">
        <f t="shared" si="3"/>
        <v>139.82451329393353</v>
      </c>
      <c r="G32" s="24">
        <f t="shared" si="3"/>
        <v>116.39409860410812</v>
      </c>
      <c r="H32" s="24">
        <f t="shared" si="3"/>
        <v>127.93589812697297</v>
      </c>
      <c r="I32" s="24">
        <f t="shared" si="3"/>
        <v>123.69143690775701</v>
      </c>
      <c r="J32" s="24">
        <f t="shared" si="3"/>
        <v>130.92857068009829</v>
      </c>
      <c r="K32" s="24">
        <f t="shared" si="3"/>
        <v>114.96396023221872</v>
      </c>
      <c r="L32" s="24">
        <f t="shared" si="3"/>
        <v>125.30695667758702</v>
      </c>
      <c r="M32" s="24">
        <f t="shared" si="3"/>
        <v>95.477361444463227</v>
      </c>
      <c r="N32" s="24">
        <f t="shared" si="3"/>
        <v>104.01839991706461</v>
      </c>
      <c r="S32">
        <v>0.3246</v>
      </c>
      <c r="T32">
        <v>0.33429999999999999</v>
      </c>
      <c r="U32">
        <v>0.33</v>
      </c>
      <c r="V32">
        <v>0.33160000000000001</v>
      </c>
      <c r="W32">
        <v>0.32379999999999998</v>
      </c>
      <c r="X32">
        <v>0.31929999999999997</v>
      </c>
      <c r="Y32">
        <v>0.35060000000000002</v>
      </c>
      <c r="Z32">
        <v>0.33800000000000002</v>
      </c>
      <c r="AA32">
        <v>0.33950000000000002</v>
      </c>
      <c r="AB32">
        <v>4.3299999999999998E-2</v>
      </c>
      <c r="AC32">
        <v>4.3099999999999999E-2</v>
      </c>
      <c r="AD32">
        <v>4.3299999999999998E-2</v>
      </c>
    </row>
    <row r="33" spans="2:31" x14ac:dyDescent="0.2">
      <c r="B33" s="54">
        <v>600</v>
      </c>
      <c r="C33" s="24">
        <f t="shared" si="3"/>
        <v>197.28779242684655</v>
      </c>
      <c r="D33" s="24">
        <f t="shared" si="3"/>
        <v>206.61147347279874</v>
      </c>
      <c r="E33" s="24">
        <f t="shared" si="3"/>
        <v>149.34247975382968</v>
      </c>
      <c r="F33" s="24">
        <f t="shared" si="3"/>
        <v>154.47702856590914</v>
      </c>
      <c r="G33" s="24">
        <f t="shared" si="3"/>
        <v>143.77381995935292</v>
      </c>
      <c r="H33" s="24">
        <f t="shared" si="3"/>
        <v>149.96754135571555</v>
      </c>
      <c r="I33" s="24">
        <f t="shared" si="3"/>
        <v>138.77103760342601</v>
      </c>
      <c r="J33" s="24">
        <f t="shared" si="3"/>
        <v>148.10606591555663</v>
      </c>
      <c r="K33" s="24">
        <f t="shared" si="3"/>
        <v>127.81583550226452</v>
      </c>
      <c r="L33" s="24">
        <f t="shared" si="3"/>
        <v>139.44544782063389</v>
      </c>
      <c r="M33" s="24"/>
      <c r="N33" s="24"/>
      <c r="S33">
        <v>0.37469999999999998</v>
      </c>
      <c r="T33">
        <v>0.36880000000000002</v>
      </c>
      <c r="U33">
        <v>0.37040000000000001</v>
      </c>
      <c r="V33">
        <v>0.36890000000000001</v>
      </c>
      <c r="W33">
        <v>0.36499999999999999</v>
      </c>
      <c r="X33">
        <v>0.30259999999999998</v>
      </c>
      <c r="Y33">
        <v>0.39710000000000001</v>
      </c>
      <c r="Z33">
        <v>0.40200000000000002</v>
      </c>
      <c r="AA33">
        <v>0.38719999999999999</v>
      </c>
      <c r="AB33">
        <v>4.3999999999999997E-2</v>
      </c>
      <c r="AC33">
        <v>4.36E-2</v>
      </c>
      <c r="AD33">
        <v>4.4400000000000002E-2</v>
      </c>
    </row>
    <row r="34" spans="2:31" x14ac:dyDescent="0.2">
      <c r="B34" s="86"/>
      <c r="C34" s="24">
        <f t="shared" si="3"/>
        <v>380.39217015379</v>
      </c>
      <c r="D34" s="24">
        <f t="shared" si="3"/>
        <v>420.13946857168537</v>
      </c>
      <c r="E34" s="24">
        <f t="shared" si="3"/>
        <v>104.71625298639599</v>
      </c>
      <c r="F34" s="24">
        <f t="shared" si="3"/>
        <v>113.2819245177717</v>
      </c>
      <c r="G34" s="24">
        <f t="shared" si="3"/>
        <v>127.74137129246721</v>
      </c>
      <c r="H34" s="24">
        <f t="shared" si="3"/>
        <v>134.04298717598448</v>
      </c>
      <c r="I34" s="24">
        <f t="shared" si="3"/>
        <v>110.08268425449438</v>
      </c>
      <c r="J34" s="24">
        <f t="shared" si="3"/>
        <v>111.40146398739405</v>
      </c>
      <c r="K34" s="24">
        <f t="shared" si="3"/>
        <v>85.15037741754324</v>
      </c>
      <c r="L34" s="24">
        <f t="shared" si="3"/>
        <v>94.181254469815158</v>
      </c>
      <c r="M34" s="24"/>
      <c r="N34" s="24"/>
      <c r="S34">
        <v>0.37540000000000001</v>
      </c>
      <c r="T34">
        <v>0.37509999999999999</v>
      </c>
      <c r="U34">
        <v>0.37009999999999998</v>
      </c>
      <c r="V34">
        <v>0.37819999999999998</v>
      </c>
      <c r="W34">
        <v>0.36880000000000002</v>
      </c>
      <c r="X34">
        <v>0.30549999999999999</v>
      </c>
      <c r="Y34">
        <v>0.39369999999999999</v>
      </c>
      <c r="Z34">
        <v>0.41660000000000003</v>
      </c>
      <c r="AA34">
        <v>0.3876</v>
      </c>
      <c r="AB34">
        <v>4.4699999999999997E-2</v>
      </c>
      <c r="AC34">
        <v>4.3900000000000002E-2</v>
      </c>
      <c r="AD34">
        <v>4.3900000000000002E-2</v>
      </c>
    </row>
    <row r="35" spans="2:31" x14ac:dyDescent="0.2">
      <c r="B35" s="55"/>
      <c r="C35" s="24">
        <f t="shared" si="3"/>
        <v>591.23902386290774</v>
      </c>
      <c r="D35" s="24">
        <f t="shared" si="3"/>
        <v>608.10686083216808</v>
      </c>
      <c r="E35" s="24">
        <f t="shared" si="3"/>
        <v>149.48864302134808</v>
      </c>
      <c r="F35" s="24">
        <f t="shared" si="3"/>
        <v>163.97897606370765</v>
      </c>
      <c r="G35" s="24">
        <f t="shared" si="3"/>
        <v>63.246189868453214</v>
      </c>
      <c r="H35" s="24">
        <f t="shared" si="3"/>
        <v>74.391198258149188</v>
      </c>
      <c r="I35" s="24">
        <f t="shared" si="3"/>
        <v>133.3408038246852</v>
      </c>
      <c r="J35" s="24">
        <f t="shared" si="3"/>
        <v>141.25674268439735</v>
      </c>
      <c r="K35" s="24">
        <f t="shared" si="3"/>
        <v>116.08129548491441</v>
      </c>
      <c r="L35" s="24">
        <f t="shared" si="3"/>
        <v>118.28385727096777</v>
      </c>
      <c r="M35" s="24"/>
      <c r="N35" s="24"/>
      <c r="S35">
        <v>7.2999999999999995E-2</v>
      </c>
      <c r="T35">
        <v>0.15049999999999999</v>
      </c>
      <c r="U35">
        <v>0.21290000000000001</v>
      </c>
      <c r="V35">
        <v>0.32329999999999998</v>
      </c>
      <c r="W35">
        <v>0.41260000000000002</v>
      </c>
      <c r="X35">
        <v>0.5</v>
      </c>
      <c r="Y35">
        <v>4.3099999999999999E-2</v>
      </c>
      <c r="Z35">
        <v>4.2599999999999999E-2</v>
      </c>
      <c r="AA35">
        <v>4.3400000000000001E-2</v>
      </c>
      <c r="AB35">
        <v>4.3400000000000001E-2</v>
      </c>
      <c r="AC35">
        <v>4.2700000000000002E-2</v>
      </c>
      <c r="AD35">
        <v>4.3499999999999997E-2</v>
      </c>
    </row>
    <row r="36" spans="2:31" x14ac:dyDescent="0.2">
      <c r="B36" s="86"/>
      <c r="C36" s="24"/>
      <c r="D36" s="24"/>
      <c r="E36" s="24">
        <f t="shared" si="3"/>
        <v>144.72096796678844</v>
      </c>
      <c r="F36" s="24">
        <f t="shared" si="3"/>
        <v>145.47489129049697</v>
      </c>
      <c r="G36" s="24">
        <f t="shared" si="3"/>
        <v>126.23379959357567</v>
      </c>
      <c r="H36" s="24">
        <f t="shared" si="3"/>
        <v>135.06730610559029</v>
      </c>
      <c r="I36" s="24">
        <f t="shared" si="3"/>
        <v>131.64400654620769</v>
      </c>
      <c r="J36" s="24">
        <f t="shared" si="3"/>
        <v>141.85243847375926</v>
      </c>
      <c r="K36" s="24">
        <f t="shared" si="3"/>
        <v>94.028841958646282</v>
      </c>
      <c r="L36" s="24">
        <f t="shared" si="3"/>
        <v>93.705076044480023</v>
      </c>
      <c r="M36" s="24"/>
      <c r="N36" s="24"/>
      <c r="S36">
        <v>6.9400000000000003E-2</v>
      </c>
      <c r="T36">
        <v>0.14699999999999999</v>
      </c>
      <c r="U36">
        <v>0.21049999999999999</v>
      </c>
      <c r="V36">
        <v>0.3165</v>
      </c>
      <c r="W36">
        <v>0.40810000000000002</v>
      </c>
      <c r="X36">
        <v>0.4924</v>
      </c>
      <c r="Y36">
        <v>4.2999999999999997E-2</v>
      </c>
      <c r="Z36">
        <v>4.3499999999999997E-2</v>
      </c>
      <c r="AA36">
        <v>4.4299999999999999E-2</v>
      </c>
      <c r="AB36">
        <v>4.3799999999999999E-2</v>
      </c>
      <c r="AC36">
        <v>4.1599999999999998E-2</v>
      </c>
      <c r="AD36">
        <v>4.07E-2</v>
      </c>
    </row>
    <row r="38" spans="2:31" x14ac:dyDescent="0.2">
      <c r="C38" s="77"/>
      <c r="D38" s="77"/>
      <c r="E38" s="77"/>
      <c r="F38"/>
      <c r="G38"/>
      <c r="H38"/>
      <c r="I38"/>
      <c r="J38"/>
      <c r="K38"/>
      <c r="L38"/>
      <c r="M38"/>
    </row>
    <row r="39" spans="2:31" x14ac:dyDescent="0.2">
      <c r="E39" s="3">
        <f>AVERAGE(E29:F29)</f>
        <v>151.61856590318203</v>
      </c>
    </row>
    <row r="40" spans="2:31" x14ac:dyDescent="0.2">
      <c r="E40" s="3">
        <f t="shared" ref="E40:E46" si="4">AVERAGE(E30:F30)</f>
        <v>144.60827361219867</v>
      </c>
    </row>
    <row r="41" spans="2:31" x14ac:dyDescent="0.2">
      <c r="E41" s="3">
        <f t="shared" si="4"/>
        <v>126.18510720293932</v>
      </c>
    </row>
    <row r="42" spans="2:31" x14ac:dyDescent="0.2">
      <c r="E42" s="3">
        <f t="shared" si="4"/>
        <v>139.22341121667353</v>
      </c>
    </row>
    <row r="43" spans="2:31" x14ac:dyDescent="0.2">
      <c r="E43" s="3">
        <f t="shared" si="4"/>
        <v>151.90975415986941</v>
      </c>
    </row>
    <row r="44" spans="2:31" x14ac:dyDescent="0.2">
      <c r="E44" s="3">
        <f t="shared" si="4"/>
        <v>108.99908875208385</v>
      </c>
    </row>
    <row r="45" spans="2:31" x14ac:dyDescent="0.2">
      <c r="E45" s="3">
        <f t="shared" si="4"/>
        <v>156.73380954252787</v>
      </c>
    </row>
    <row r="46" spans="2:31" x14ac:dyDescent="0.2">
      <c r="E46" s="3">
        <f t="shared" si="4"/>
        <v>145.0979296286427</v>
      </c>
    </row>
    <row r="47" spans="2:31" x14ac:dyDescent="0.2">
      <c r="E47" s="3">
        <f t="shared" ref="E47:E54" si="5">AVERAGE(G29:H29)</f>
        <v>127.74830304604941</v>
      </c>
    </row>
    <row r="48" spans="2:31" x14ac:dyDescent="0.2">
      <c r="E48" s="3">
        <f t="shared" si="5"/>
        <v>130.41766483297067</v>
      </c>
      <c r="T48">
        <v>0.22919999999999999</v>
      </c>
      <c r="U48">
        <v>0.22509999999999999</v>
      </c>
      <c r="V48">
        <v>0.68300000000000005</v>
      </c>
      <c r="W48">
        <v>0.73460000000000003</v>
      </c>
      <c r="X48">
        <v>0.70040000000000002</v>
      </c>
      <c r="Y48">
        <v>0.83840000000000003</v>
      </c>
      <c r="Z48">
        <v>0.88229999999999997</v>
      </c>
      <c r="AA48">
        <v>0.70569999999999999</v>
      </c>
      <c r="AB48">
        <v>0.75349999999999995</v>
      </c>
      <c r="AC48">
        <v>0.7117</v>
      </c>
      <c r="AD48">
        <v>0.84319999999999995</v>
      </c>
      <c r="AE48">
        <v>0.98409999999999997</v>
      </c>
    </row>
    <row r="49" spans="5:31" x14ac:dyDescent="0.2">
      <c r="E49" s="3">
        <f t="shared" si="5"/>
        <v>125.39322005484902</v>
      </c>
      <c r="T49">
        <v>0.32790000000000002</v>
      </c>
      <c r="U49">
        <v>0.35880000000000001</v>
      </c>
      <c r="V49">
        <v>0.69359999999999999</v>
      </c>
      <c r="W49">
        <v>0.59399999999999997</v>
      </c>
      <c r="X49">
        <v>0.74950000000000006</v>
      </c>
      <c r="Y49">
        <v>0.86099999999999999</v>
      </c>
      <c r="Z49">
        <v>0.97699999999999998</v>
      </c>
      <c r="AA49">
        <v>0.7157</v>
      </c>
      <c r="AB49">
        <v>0.79790000000000005</v>
      </c>
      <c r="AC49">
        <v>0.74570000000000003</v>
      </c>
      <c r="AD49">
        <v>0.81810000000000005</v>
      </c>
      <c r="AE49">
        <v>0.99680000000000002</v>
      </c>
    </row>
    <row r="50" spans="5:31" x14ac:dyDescent="0.2">
      <c r="E50" s="3">
        <f t="shared" si="5"/>
        <v>122.16499836554055</v>
      </c>
      <c r="T50">
        <v>0.52880000000000005</v>
      </c>
      <c r="U50">
        <v>0.5323</v>
      </c>
      <c r="V50">
        <v>0.65410000000000001</v>
      </c>
      <c r="W50">
        <v>0.66490000000000005</v>
      </c>
      <c r="X50">
        <v>0.66190000000000004</v>
      </c>
      <c r="Y50">
        <v>0.8458</v>
      </c>
      <c r="Z50">
        <v>0.83260000000000001</v>
      </c>
      <c r="AA50">
        <v>0.75349999999999995</v>
      </c>
      <c r="AB50">
        <v>0.76749999999999996</v>
      </c>
      <c r="AC50">
        <v>0.72289999999999999</v>
      </c>
      <c r="AD50">
        <v>0.83889999999999998</v>
      </c>
      <c r="AE50">
        <v>1.0282</v>
      </c>
    </row>
    <row r="51" spans="5:31" x14ac:dyDescent="0.2">
      <c r="E51" s="3">
        <f t="shared" si="5"/>
        <v>146.87068065753425</v>
      </c>
      <c r="T51">
        <v>0.7137</v>
      </c>
      <c r="U51">
        <v>0.68659999999999999</v>
      </c>
      <c r="V51">
        <v>0.55959999999999999</v>
      </c>
      <c r="W51">
        <v>0.59899999999999998</v>
      </c>
      <c r="X51">
        <v>0.76900000000000002</v>
      </c>
      <c r="Y51">
        <v>0.85219999999999996</v>
      </c>
      <c r="Z51">
        <v>0.84360000000000002</v>
      </c>
      <c r="AA51">
        <v>0.73</v>
      </c>
      <c r="AB51">
        <v>0.75890000000000002</v>
      </c>
      <c r="AC51">
        <v>0.73570000000000002</v>
      </c>
      <c r="AD51">
        <v>0.81030000000000002</v>
      </c>
      <c r="AE51">
        <v>1.0265</v>
      </c>
    </row>
    <row r="52" spans="5:31" x14ac:dyDescent="0.2">
      <c r="E52" s="3">
        <f t="shared" si="5"/>
        <v>130.89217923422584</v>
      </c>
      <c r="T52">
        <v>0.89890000000000003</v>
      </c>
      <c r="U52">
        <v>0.82840000000000003</v>
      </c>
      <c r="V52">
        <v>0.6764</v>
      </c>
      <c r="W52">
        <v>0.78149999999999997</v>
      </c>
      <c r="X52">
        <v>0.76539999999999997</v>
      </c>
      <c r="Y52">
        <v>0.81479999999999997</v>
      </c>
      <c r="Z52">
        <v>0.79920000000000002</v>
      </c>
      <c r="AA52">
        <v>0.68220000000000003</v>
      </c>
      <c r="AB52">
        <v>0.77439999999999998</v>
      </c>
      <c r="AC52">
        <v>0.72889999999999999</v>
      </c>
      <c r="AD52">
        <v>0.84040000000000004</v>
      </c>
      <c r="AE52">
        <v>0.96130000000000004</v>
      </c>
    </row>
    <row r="53" spans="5:31" x14ac:dyDescent="0.2">
      <c r="E53" s="3">
        <f t="shared" si="5"/>
        <v>68.818694063301194</v>
      </c>
      <c r="T53">
        <v>4.02E-2</v>
      </c>
      <c r="U53">
        <v>4.1599999999999998E-2</v>
      </c>
      <c r="V53">
        <v>4.1300000000000003E-2</v>
      </c>
      <c r="W53">
        <v>4.2700000000000002E-2</v>
      </c>
      <c r="X53">
        <v>4.1200000000000001E-2</v>
      </c>
      <c r="Y53">
        <v>4.2200000000000001E-2</v>
      </c>
      <c r="Z53">
        <v>4.3299999999999998E-2</v>
      </c>
      <c r="AA53">
        <v>4.3299999999999998E-2</v>
      </c>
      <c r="AB53">
        <v>4.3400000000000001E-2</v>
      </c>
      <c r="AC53">
        <v>4.2999999999999997E-2</v>
      </c>
      <c r="AD53">
        <v>4.8399999999999999E-2</v>
      </c>
      <c r="AE53">
        <v>4.24E-2</v>
      </c>
    </row>
    <row r="54" spans="5:31" x14ac:dyDescent="0.2">
      <c r="E54" s="3">
        <f t="shared" si="5"/>
        <v>130.65055284958299</v>
      </c>
      <c r="T54">
        <v>7.22E-2</v>
      </c>
      <c r="U54">
        <v>6.9500000000000006E-2</v>
      </c>
      <c r="V54">
        <v>4.3200000000000002E-2</v>
      </c>
      <c r="W54">
        <v>4.2700000000000002E-2</v>
      </c>
      <c r="X54">
        <v>4.2099999999999999E-2</v>
      </c>
      <c r="Y54">
        <v>4.3299999999999998E-2</v>
      </c>
      <c r="Z54">
        <v>4.3700000000000003E-2</v>
      </c>
      <c r="AA54">
        <v>4.3900000000000002E-2</v>
      </c>
      <c r="AB54">
        <v>4.4400000000000002E-2</v>
      </c>
      <c r="AC54">
        <v>4.9399999999999999E-2</v>
      </c>
      <c r="AD54">
        <v>4.1200000000000001E-2</v>
      </c>
      <c r="AE54">
        <v>4.1399999999999999E-2</v>
      </c>
    </row>
    <row r="55" spans="5:31" x14ac:dyDescent="0.2">
      <c r="E55" s="3">
        <f t="shared" ref="E55:E62" si="6">AVERAGE(I29:J29)</f>
        <v>110.44600086309183</v>
      </c>
    </row>
    <row r="56" spans="5:31" x14ac:dyDescent="0.2">
      <c r="E56" s="3">
        <f t="shared" si="6"/>
        <v>117.52188726819432</v>
      </c>
    </row>
    <row r="57" spans="5:31" x14ac:dyDescent="0.2">
      <c r="E57" s="3">
        <f t="shared" si="6"/>
        <v>97.198118384657477</v>
      </c>
    </row>
    <row r="58" spans="5:31" x14ac:dyDescent="0.2">
      <c r="E58" s="3">
        <f t="shared" si="6"/>
        <v>127.31000379392765</v>
      </c>
    </row>
    <row r="59" spans="5:31" x14ac:dyDescent="0.2">
      <c r="E59" s="3">
        <f t="shared" si="6"/>
        <v>143.4385517594913</v>
      </c>
    </row>
    <row r="60" spans="5:31" x14ac:dyDescent="0.2">
      <c r="E60" s="3">
        <f t="shared" si="6"/>
        <v>110.74207412094421</v>
      </c>
    </row>
    <row r="61" spans="5:31" x14ac:dyDescent="0.2">
      <c r="E61" s="3">
        <f t="shared" si="6"/>
        <v>137.29877325454129</v>
      </c>
    </row>
    <row r="62" spans="5:31" x14ac:dyDescent="0.2">
      <c r="E62" s="3">
        <f t="shared" si="6"/>
        <v>136.74822250998346</v>
      </c>
    </row>
    <row r="63" spans="5:31" x14ac:dyDescent="0.2">
      <c r="E63" s="3">
        <f t="shared" ref="E63:E70" si="7">AVERAGE(K29:L29)</f>
        <v>117.01602075231662</v>
      </c>
    </row>
    <row r="64" spans="5:31" x14ac:dyDescent="0.2">
      <c r="E64" s="3">
        <f t="shared" si="7"/>
        <v>124.6589491999994</v>
      </c>
    </row>
    <row r="65" spans="5:5" x14ac:dyDescent="0.2">
      <c r="E65" s="3">
        <f t="shared" si="7"/>
        <v>131.82322224628973</v>
      </c>
    </row>
    <row r="66" spans="5:5" x14ac:dyDescent="0.2">
      <c r="E66" s="3">
        <f t="shared" si="7"/>
        <v>120.13545845490287</v>
      </c>
    </row>
    <row r="67" spans="5:5" x14ac:dyDescent="0.2">
      <c r="E67" s="3">
        <f t="shared" si="7"/>
        <v>133.6306416614492</v>
      </c>
    </row>
    <row r="68" spans="5:5" x14ac:dyDescent="0.2">
      <c r="E68" s="3">
        <f t="shared" si="7"/>
        <v>89.665815943679206</v>
      </c>
    </row>
    <row r="69" spans="5:5" x14ac:dyDescent="0.2">
      <c r="E69" s="3">
        <f t="shared" si="7"/>
        <v>117.18257637794109</v>
      </c>
    </row>
    <row r="70" spans="5:5" x14ac:dyDescent="0.2">
      <c r="E70" s="3">
        <f t="shared" si="7"/>
        <v>93.866959001563146</v>
      </c>
    </row>
    <row r="71" spans="5:5" x14ac:dyDescent="0.2">
      <c r="E71" s="3">
        <f>AVERAGE(M29:N29)</f>
        <v>124.3878226689603</v>
      </c>
    </row>
    <row r="72" spans="5:5" x14ac:dyDescent="0.2">
      <c r="E72" s="3">
        <f>AVERAGE(M30:N30)</f>
        <v>116.31998434140461</v>
      </c>
    </row>
    <row r="73" spans="5:5" x14ac:dyDescent="0.2">
      <c r="E73" s="3">
        <f>AVERAGE(M31:N31)</f>
        <v>75.56969360035805</v>
      </c>
    </row>
    <row r="74" spans="5:5" x14ac:dyDescent="0.2">
      <c r="E74" s="3">
        <f>AVERAGE(M32:N32)</f>
        <v>99.747880680763927</v>
      </c>
    </row>
    <row r="105" spans="2:13" x14ac:dyDescent="0.2">
      <c r="B105" s="87">
        <v>0.13650000000000001</v>
      </c>
      <c r="C105" s="87">
        <v>0.1406</v>
      </c>
      <c r="D105" s="87">
        <v>0.55679999999999996</v>
      </c>
      <c r="E105" s="87">
        <v>0.74299999999999999</v>
      </c>
      <c r="F105" s="87"/>
      <c r="G105" s="87"/>
      <c r="H105" s="87"/>
      <c r="I105" s="87"/>
      <c r="J105" s="87"/>
      <c r="K105" s="87"/>
      <c r="L105" s="87"/>
      <c r="M105" s="87"/>
    </row>
    <row r="106" spans="2:13" x14ac:dyDescent="0.2">
      <c r="B106" s="87">
        <v>0.22919999999999999</v>
      </c>
      <c r="C106" s="87">
        <v>0.22509999999999999</v>
      </c>
      <c r="D106" s="87">
        <v>0.68300000000000005</v>
      </c>
      <c r="E106" s="87">
        <v>0.73460000000000003</v>
      </c>
      <c r="F106" s="87"/>
      <c r="G106" s="87"/>
      <c r="H106" s="87"/>
      <c r="I106" s="87"/>
      <c r="J106" s="87"/>
      <c r="K106" s="87"/>
      <c r="L106" s="87"/>
      <c r="M106" s="87"/>
    </row>
    <row r="107" spans="2:13" x14ac:dyDescent="0.2">
      <c r="B107" s="87">
        <v>0.32790000000000002</v>
      </c>
      <c r="C107" s="87">
        <v>0.35880000000000001</v>
      </c>
      <c r="D107" s="87">
        <v>0.69359999999999999</v>
      </c>
      <c r="E107" s="87">
        <v>0.59399999999999997</v>
      </c>
      <c r="F107" s="87"/>
      <c r="G107" s="87"/>
      <c r="H107" s="87"/>
      <c r="I107" s="87"/>
      <c r="J107" s="87"/>
      <c r="K107" s="87"/>
      <c r="L107" s="87"/>
      <c r="M107" s="87"/>
    </row>
    <row r="108" spans="2:13" x14ac:dyDescent="0.2">
      <c r="B108" s="87">
        <v>0.52880000000000005</v>
      </c>
      <c r="C108" s="87">
        <v>0.5323</v>
      </c>
      <c r="D108" s="87">
        <v>0.65410000000000001</v>
      </c>
      <c r="E108" s="87">
        <v>0.66490000000000005</v>
      </c>
      <c r="F108" s="87"/>
      <c r="G108" s="87"/>
      <c r="H108" s="87"/>
      <c r="I108" s="87"/>
      <c r="J108" s="87"/>
      <c r="K108" s="87"/>
      <c r="L108" s="87"/>
      <c r="M108" s="87"/>
    </row>
    <row r="109" spans="2:13" x14ac:dyDescent="0.2">
      <c r="B109" s="87">
        <v>0.7137</v>
      </c>
      <c r="C109" s="87">
        <v>0.68659999999999999</v>
      </c>
      <c r="D109" s="87">
        <v>0.55959999999999999</v>
      </c>
      <c r="E109" s="87">
        <v>0.59899999999999998</v>
      </c>
      <c r="F109" s="87">
        <v>0.76900000000000002</v>
      </c>
      <c r="G109" s="87">
        <v>0.85219999999999996</v>
      </c>
      <c r="H109" s="87">
        <v>0.84360000000000002</v>
      </c>
      <c r="I109" s="87">
        <v>0.73</v>
      </c>
      <c r="J109" s="87">
        <v>0.75890000000000002</v>
      </c>
      <c r="K109" s="87">
        <v>0.73570000000000002</v>
      </c>
      <c r="L109" s="87">
        <v>0.81030000000000002</v>
      </c>
      <c r="M109" s="87">
        <v>1.0265</v>
      </c>
    </row>
    <row r="110" spans="2:13" x14ac:dyDescent="0.2">
      <c r="B110" s="87">
        <v>0.89890000000000003</v>
      </c>
      <c r="C110" s="87">
        <v>0.82840000000000003</v>
      </c>
      <c r="D110" s="87">
        <v>0.6764</v>
      </c>
      <c r="E110" s="87">
        <v>0.78149999999999997</v>
      </c>
      <c r="F110" s="87">
        <v>0.76539999999999997</v>
      </c>
      <c r="G110" s="87">
        <v>0.81479999999999997</v>
      </c>
      <c r="H110" s="87">
        <v>0.79920000000000002</v>
      </c>
      <c r="I110" s="87">
        <v>0.68220000000000003</v>
      </c>
      <c r="J110" s="87">
        <v>0.77439999999999998</v>
      </c>
      <c r="K110" s="87">
        <v>0.72889999999999999</v>
      </c>
      <c r="L110" s="87">
        <v>0.84040000000000004</v>
      </c>
      <c r="M110" s="87">
        <v>0.96130000000000004</v>
      </c>
    </row>
    <row r="111" spans="2:13" x14ac:dyDescent="0.2">
      <c r="B111" s="87">
        <v>4.02E-2</v>
      </c>
      <c r="C111" s="87">
        <v>4.1599999999999998E-2</v>
      </c>
      <c r="D111" s="87">
        <v>4.1300000000000003E-2</v>
      </c>
      <c r="E111" s="87">
        <v>4.2700000000000002E-2</v>
      </c>
      <c r="F111" s="87">
        <v>4.1200000000000001E-2</v>
      </c>
      <c r="G111" s="87">
        <v>4.2200000000000001E-2</v>
      </c>
      <c r="H111" s="87">
        <v>4.3299999999999998E-2</v>
      </c>
      <c r="I111" s="87">
        <v>4.3299999999999998E-2</v>
      </c>
      <c r="J111" s="87">
        <v>4.3400000000000001E-2</v>
      </c>
      <c r="K111" s="87">
        <v>4.2999999999999997E-2</v>
      </c>
      <c r="L111" s="87">
        <v>4.8399999999999999E-2</v>
      </c>
      <c r="M111" s="87">
        <v>4.24E-2</v>
      </c>
    </row>
    <row r="112" spans="2:13" x14ac:dyDescent="0.2">
      <c r="B112" s="87">
        <v>7.22E-2</v>
      </c>
      <c r="C112" s="87">
        <v>6.9500000000000006E-2</v>
      </c>
      <c r="D112" s="87">
        <v>4.3200000000000002E-2</v>
      </c>
      <c r="E112" s="87">
        <v>4.2700000000000002E-2</v>
      </c>
      <c r="F112" s="87">
        <v>4.2099999999999999E-2</v>
      </c>
      <c r="G112" s="87">
        <v>4.3299999999999998E-2</v>
      </c>
      <c r="H112" s="87">
        <v>4.3700000000000003E-2</v>
      </c>
      <c r="I112" s="87">
        <v>4.3900000000000002E-2</v>
      </c>
      <c r="J112" s="87">
        <v>4.4400000000000002E-2</v>
      </c>
      <c r="K112" s="87">
        <v>4.9399999999999999E-2</v>
      </c>
      <c r="L112" s="87">
        <v>4.1200000000000001E-2</v>
      </c>
      <c r="M112" s="87">
        <v>4.1399999999999999E-2</v>
      </c>
    </row>
    <row r="114" spans="1:1" x14ac:dyDescent="0.2">
      <c r="A114" t="s">
        <v>163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rism8.Document" shapeId="11265" r:id="rId3">
          <objectPr defaultSize="0" r:id="rId4">
            <anchor moveWithCells="1">
              <from>
                <xdr:col>16</xdr:col>
                <xdr:colOff>76200</xdr:colOff>
                <xdr:row>11</xdr:row>
                <xdr:rowOff>127000</xdr:rowOff>
              </from>
              <to>
                <xdr:col>22</xdr:col>
                <xdr:colOff>228600</xdr:colOff>
                <xdr:row>26</xdr:row>
                <xdr:rowOff>50800</xdr:rowOff>
              </to>
            </anchor>
          </objectPr>
        </oleObject>
      </mc:Choice>
      <mc:Fallback>
        <oleObject progId="Prism8.Document" shapeId="1126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Glucose</vt:lpstr>
      <vt:lpstr>GA3P</vt:lpstr>
      <vt:lpstr>DHAP</vt:lpstr>
      <vt:lpstr>PEP</vt:lpstr>
      <vt:lpstr>PYR</vt:lpstr>
      <vt:lpstr>LACTATE</vt:lpstr>
      <vt:lpstr>R5P</vt:lpstr>
      <vt:lpstr>E4P</vt:lpstr>
      <vt:lpstr>S7P</vt:lpstr>
      <vt:lpstr>Prot. Quant.1</vt:lpstr>
      <vt:lpstr>Prot. Quant.2</vt:lpstr>
    </vt:vector>
  </TitlesOfParts>
  <Company>Ospedale San Raffaele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Cardaci Simone</dc:creator>
  <cp:lastModifiedBy>Chiara Pecorari</cp:lastModifiedBy>
  <dcterms:created xsi:type="dcterms:W3CDTF">2026-04-28T08:28:59Z</dcterms:created>
  <dcterms:modified xsi:type="dcterms:W3CDTF">2026-05-21T08:06:39Z</dcterms:modified>
</cp:coreProperties>
</file>